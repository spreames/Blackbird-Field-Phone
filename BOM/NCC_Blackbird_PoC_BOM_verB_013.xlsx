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Assembly" sheetId="1" state="visible" r:id="rId3"/>
  </sheets>
  <definedNames>
    <definedName function="false" hidden="false" localSheetId="0" name="_xlnm.Print_Area" vbProcedure="false">'Top Assembly'!$A$1:$N$155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<sst xmlns="http://schemas.openxmlformats.org/spreadsheetml/2006/main" count="1220" uniqueCount="599">
  <si>
    <t xml:space="preserve">MME P/N</t>
  </si>
  <si>
    <t xml:space="preserve">REV</t>
  </si>
  <si>
    <t xml:space="preserve">DWG No</t>
  </si>
  <si>
    <t xml:space="preserve">PART DESCRIPTION</t>
  </si>
  <si>
    <t xml:space="preserve">REF. DES.</t>
  </si>
  <si>
    <t xml:space="preserve">QTY</t>
  </si>
  <si>
    <t xml:space="preserve">UOM</t>
  </si>
  <si>
    <t xml:space="preserve">Make/Buy</t>
  </si>
  <si>
    <t xml:space="preserve">MFGR-1</t>
  </si>
  <si>
    <t xml:space="preserve">MFGR-1 P/N</t>
  </si>
  <si>
    <t xml:space="preserve">DIST-1</t>
  </si>
  <si>
    <t xml:space="preserve">DIST-1 P/N</t>
  </si>
  <si>
    <t xml:space="preserve">MFGR-2</t>
  </si>
  <si>
    <t xml:space="preserve">MFGR-2 P/N</t>
  </si>
  <si>
    <t xml:space="preserve">MFGR-3</t>
  </si>
  <si>
    <t xml:space="preserve">MFGR-3 P/N</t>
  </si>
  <si>
    <t xml:space="preserve">Cost (1)</t>
  </si>
  <si>
    <t xml:space="preserve">Ext. Cost (1)</t>
  </si>
  <si>
    <t xml:space="preserve">Cost (10)</t>
  </si>
  <si>
    <t xml:space="preserve">Ext Cost (10)</t>
  </si>
  <si>
    <t xml:space="preserve">Top Level – Blackbird Proof-of-Concept Field Phone</t>
  </si>
  <si>
    <t xml:space="preserve">Main PCB Assy</t>
  </si>
  <si>
    <t xml:space="preserve">EA</t>
  </si>
  <si>
    <t xml:space="preserve">M</t>
  </si>
  <si>
    <t xml:space="preserve">Handset Assy</t>
  </si>
  <si>
    <t xml:space="preserve">Base Unit Assy</t>
  </si>
  <si>
    <t xml:space="preserve">Battery, 18650</t>
  </si>
  <si>
    <t xml:space="preserve">B</t>
  </si>
  <si>
    <t xml:space="preserve">Battery, AA</t>
  </si>
  <si>
    <t xml:space="preserve">Speaker, IP67, 30mm, WSPH-3005</t>
  </si>
  <si>
    <t xml:space="preserve">Soberton Inc.</t>
  </si>
  <si>
    <t xml:space="preserve">WSPH-3005</t>
  </si>
  <si>
    <t xml:space="preserve">Digikey</t>
  </si>
  <si>
    <t xml:space="preserve">433-1284-ND</t>
  </si>
  <si>
    <t xml:space="preserve">Microphone, 6mm dia, electret</t>
  </si>
  <si>
    <t xml:space="preserve">EM6027LW-42C</t>
  </si>
  <si>
    <t xml:space="preserve">433-1154-ND</t>
  </si>
  <si>
    <t xml:space="preserve">Switch, momentary pushbutton, for PTT</t>
  </si>
  <si>
    <t xml:space="preserve">M1</t>
  </si>
  <si>
    <t xml:space="preserve">Judco Manufacturing Inc.</t>
  </si>
  <si>
    <t xml:space="preserve">40-2390-00</t>
  </si>
  <si>
    <t xml:space="preserve">506PB-ND</t>
  </si>
  <si>
    <t xml:space="preserve">old switch</t>
  </si>
  <si>
    <t xml:space="preserve">xxx</t>
  </si>
  <si>
    <t xml:space="preserve">Microphone Insert, 82A filament, Recreus FilaFlex</t>
  </si>
  <si>
    <t xml:space="preserve">Cable, 5 cond, 5 x 0.34mm (22 AWG)</t>
  </si>
  <si>
    <t xml:space="preserve">m</t>
  </si>
  <si>
    <t xml:space="preserve">Helukabel</t>
  </si>
  <si>
    <t xml:space="preserve">49608</t>
  </si>
  <si>
    <t xml:space="preserve">TME</t>
  </si>
  <si>
    <t xml:space="preserve">STR-PUR5X0.34</t>
  </si>
  <si>
    <t xml:space="preserve">Cable gland, with pigtail</t>
  </si>
  <si>
    <t xml:space="preserve">Heyco Products Corp</t>
  </si>
  <si>
    <t xml:space="preserve">3237</t>
  </si>
  <si>
    <t xml:space="preserve">3720-3237-ND</t>
  </si>
  <si>
    <t xml:space="preserve">Screw, 316 SS, Button Head, Hex Drive, M3 x 0.5mm, 10mm Long</t>
  </si>
  <si>
    <t xml:space="preserve">McMaster</t>
  </si>
  <si>
    <t xml:space="preserve">94500A223</t>
  </si>
  <si>
    <t xml:space="preserve">uses 2.5mm hex driver</t>
  </si>
  <si>
    <t xml:space="preserve">Connector,butt splice, 22-26 AWG, crimp</t>
  </si>
  <si>
    <t xml:space="preserve">TE Conn AMP Connectors</t>
  </si>
  <si>
    <t xml:space="preserve">321026</t>
  </si>
  <si>
    <t xml:space="preserve">A27461</t>
  </si>
  <si>
    <t xml:space="preserve">Connector, butt splice, </t>
  </si>
  <si>
    <t xml:space="preserve">Brass Heat-Set Inserts for Plastic, M3 x 5.7mm</t>
  </si>
  <si>
    <t xml:space="preserve">M3</t>
  </si>
  <si>
    <t xml:space="preserve">CNC Kitchen</t>
  </si>
  <si>
    <t xml:space="preserve">M3x5.7</t>
  </si>
  <si>
    <t xml:space="preserve">97171A310</t>
  </si>
  <si>
    <t xml:space="preserve">Filament, 3D printer, PCTG, Handset Cover, 2 copies</t>
  </si>
  <si>
    <t xml:space="preserve">gm</t>
  </si>
  <si>
    <t xml:space="preserve">3D Fuel</t>
  </si>
  <si>
    <t xml:space="preserve">Pro PCTG filament</t>
  </si>
  <si>
    <t xml:space="preserve">based on PCTG</t>
  </si>
  <si>
    <t xml:space="preserve">Filament, 3D printer, PCTG, Handset, Left body</t>
  </si>
  <si>
    <t xml:space="preserve">Filament, 3D printer, PCTG, Handset, Right body</t>
  </si>
  <si>
    <t xml:space="preserve">Diode, LED, red, T ¾ package (5mm), 60 deg, 700 mcd</t>
  </si>
  <si>
    <t xml:space="preserve">D200</t>
  </si>
  <si>
    <t xml:space="preserve">Lumex Opto/Components Inc.</t>
  </si>
  <si>
    <t xml:space="preserve">SSL-LX5093SID</t>
  </si>
  <si>
    <t xml:space="preserve">67-2288-ND</t>
  </si>
  <si>
    <t xml:space="preserve">Kingbright</t>
  </si>
  <si>
    <t xml:space="preserve">WP63SURDK</t>
  </si>
  <si>
    <t xml:space="preserve">Diode mounting, for 1 ¾ package</t>
  </si>
  <si>
    <t xml:space="preserve">LED mounting</t>
  </si>
  <si>
    <t xml:space="preserve">SSH-LX5091</t>
  </si>
  <si>
    <t xml:space="preserve">67-1332-ND</t>
  </si>
  <si>
    <t xml:space="preserve">LED mounting, </t>
  </si>
  <si>
    <t xml:space="preserve">Speaker, 8 ohm, square, for buzzer</t>
  </si>
  <si>
    <t xml:space="preserve">Wolff Electronics</t>
  </si>
  <si>
    <t xml:space="preserve">OWS-131845W50A-8</t>
  </si>
  <si>
    <t xml:space="preserve">3949-OWS-131845W50A-8-ND</t>
  </si>
  <si>
    <t xml:space="preserve">Terminal Post, for comm line connection</t>
  </si>
  <si>
    <t xml:space="preserve">CLIFF Electronics</t>
  </si>
  <si>
    <t xml:space="preserve">CL681561</t>
  </si>
  <si>
    <t xml:space="preserve">4654-CL681561-ND</t>
  </si>
  <si>
    <t xml:space="preserve">Connector, TRRS, 3.5mm, panel mount (aux connector)</t>
  </si>
  <si>
    <t xml:space="preserve">Same Sky (Formerly CUI Devices)</t>
  </si>
  <si>
    <t xml:space="preserve">SJ5-43502PM</t>
  </si>
  <si>
    <t xml:space="preserve">CP5-43502PM-ND</t>
  </si>
  <si>
    <t xml:space="preserve">Cable gland with pigtail, PG7, nylon, range 2.9-6.35mm</t>
  </si>
  <si>
    <t xml:space="preserve">Heyco</t>
  </si>
  <si>
    <t xml:space="preserve">Switch, momentary pushbutton, for Ringer, waterproof</t>
  </si>
  <si>
    <t xml:space="preserve">M2</t>
  </si>
  <si>
    <t xml:space="preserve">CIT Relay and Switch</t>
  </si>
  <si>
    <t xml:space="preserve">FHNDSBX</t>
  </si>
  <si>
    <t xml:space="preserve">2449-FHNDSBX-ND</t>
  </si>
  <si>
    <t xml:space="preserve">E-Switch</t>
  </si>
  <si>
    <t xml:space="preserve">PV0H240SS</t>
  </si>
  <si>
    <t xml:space="preserve">new switch</t>
  </si>
  <si>
    <t xml:space="preserve">Brass Heat-Set Inserts for Plastic, ¼-20</t>
  </si>
  <si>
    <t xml:space="preserve">M4</t>
  </si>
  <si>
    <t xml:space="preserve">93365A160</t>
  </si>
  <si>
    <t xml:space="preserve">Rod, 304 SS Rod, 3 mm Diameter</t>
  </si>
  <si>
    <t xml:space="preserve">FT</t>
  </si>
  <si>
    <t xml:space="preserve">1272T33  </t>
  </si>
  <si>
    <t xml:space="preserve">Battery Contact, leaf, 1017-1</t>
  </si>
  <si>
    <t xml:space="preserve">battery door side</t>
  </si>
  <si>
    <t xml:space="preserve">Keystone Electronics</t>
  </si>
  <si>
    <t xml:space="preserve">1017-1</t>
  </si>
  <si>
    <t xml:space="preserve">36-1017-1-ND</t>
  </si>
  <si>
    <t xml:space="preserve">Battery Contact, leaf, 209</t>
  </si>
  <si>
    <t xml:space="preserve">inside of the case</t>
  </si>
  <si>
    <t xml:space="preserve">209</t>
  </si>
  <si>
    <t xml:space="preserve">36-209-ND</t>
  </si>
  <si>
    <t xml:space="preserve">O-ring, large, for case</t>
  </si>
  <si>
    <t xml:space="preserve">McMaster-Carr</t>
  </si>
  <si>
    <t xml:space="preserve">1302N156</t>
  </si>
  <si>
    <t xml:space="preserve">bag of 5</t>
  </si>
  <si>
    <t xml:space="preserve">O-ring, medium, for battery door</t>
  </si>
  <si>
    <t xml:space="preserve">9262K529</t>
  </si>
  <si>
    <t xml:space="preserve">bag of 25</t>
  </si>
  <si>
    <t xml:space="preserve">Ring lug, 4mm or #8, non-insulated</t>
  </si>
  <si>
    <t xml:space="preserve">for comm line conn.</t>
  </si>
  <si>
    <t xml:space="preserve">Amazon</t>
  </si>
  <si>
    <t xml:space="preserve">https://www.amazon.com/dp/B0CYBZDDG6</t>
  </si>
  <si>
    <t xml:space="preserve">D-ring, 1/4-20 tripod mounting, stainless</t>
  </si>
  <si>
    <t xml:space="preserve">for battery door</t>
  </si>
  <si>
    <t xml:space="preserve">https://www.amazon.com/dp/B0CR1PKCG3</t>
  </si>
  <si>
    <t xml:space="preserve">rubber seal for D-ring</t>
  </si>
  <si>
    <t xml:space="preserve">Filament, 3D printer, PCTG, CASE</t>
  </si>
  <si>
    <t xml:space="preserve">Filament, 3D printer, PCTG, Case Cover</t>
  </si>
  <si>
    <t xml:space="preserve">Filament, 3D printer, PCTG, Battery Cover</t>
  </si>
  <si>
    <t xml:space="preserve">Internal Cables</t>
  </si>
  <si>
    <t xml:space="preserve">Connector, JST XA, 8-pin, right angle, receptacle, TH</t>
  </si>
  <si>
    <t xml:space="preserve">J1A</t>
  </si>
  <si>
    <t xml:space="preserve">JST Sales America Inc.</t>
  </si>
  <si>
    <t xml:space="preserve">XAP-08V-1</t>
  </si>
  <si>
    <t xml:space="preserve">455-2154-ND</t>
  </si>
  <si>
    <t xml:space="preserve">Connector, JST XA, 4-pin, right angle, receptacle, TH</t>
  </si>
  <si>
    <t xml:space="preserve">J2A, J6A</t>
  </si>
  <si>
    <t xml:space="preserve">XAP-04V-1</t>
  </si>
  <si>
    <t xml:space="preserve">455-2150-ND</t>
  </si>
  <si>
    <t xml:space="preserve">Connector, JST VH, 2-pin, right angle, receptacle, TH</t>
  </si>
  <si>
    <t xml:space="preserve">J3A</t>
  </si>
  <si>
    <t xml:space="preserve">VHR-2N</t>
  </si>
  <si>
    <t xml:space="preserve">455-VHR-2N-ND</t>
  </si>
  <si>
    <t xml:space="preserve">VHR-2M</t>
  </si>
  <si>
    <t xml:space="preserve">Connector, JST XA, 5-pin, right angle, receptacle,TH</t>
  </si>
  <si>
    <t xml:space="preserve">J4A</t>
  </si>
  <si>
    <t xml:space="preserve">XAP-05V-1</t>
  </si>
  <si>
    <t xml:space="preserve">455-2151-ND</t>
  </si>
  <si>
    <t xml:space="preserve">Connector, pins for JST XA connectors</t>
  </si>
  <si>
    <t xml:space="preserve">pins for XA conn.</t>
  </si>
  <si>
    <t xml:space="preserve">SXA-001T-P0.6</t>
  </si>
  <si>
    <t xml:space="preserve">455-1904-500-ND</t>
  </si>
  <si>
    <t xml:space="preserve">strips of 100, 500, or 1000</t>
  </si>
  <si>
    <t xml:space="preserve">Connector, pins for JST VH connectors</t>
  </si>
  <si>
    <t xml:space="preserve">pins for VH conn.</t>
  </si>
  <si>
    <t xml:space="preserve">SVH-21T-P1.1</t>
  </si>
  <si>
    <t xml:space="preserve">455-1133-100-ND</t>
  </si>
  <si>
    <t xml:space="preserve">Wire, AWG 24, stranded, irradiated PVC, black</t>
  </si>
  <si>
    <t xml:space="preserve">Daburn</t>
  </si>
  <si>
    <t xml:space="preserve">2200/24 black</t>
  </si>
  <si>
    <t xml:space="preserve">Wire, AWG 24, stranded, irradiated PVC, red</t>
  </si>
  <si>
    <t xml:space="preserve">2200/24 red</t>
  </si>
  <si>
    <t xml:space="preserve">Wire, AWG 24, stranded, irradiated PVC, green</t>
  </si>
  <si>
    <t xml:space="preserve">2200/24 green</t>
  </si>
  <si>
    <t xml:space="preserve">Wire, AWG 24, stranded, irradiated PVC, gray</t>
  </si>
  <si>
    <t xml:space="preserve">2200/24 gray</t>
  </si>
  <si>
    <t xml:space="preserve">Wire, AWG 24, stranded, irradiated PVC, yellow</t>
  </si>
  <si>
    <t xml:space="preserve">2200/24 yellow</t>
  </si>
  <si>
    <t xml:space="preserve">Wire, AWG 24, stranded, irradiated PVC, white</t>
  </si>
  <si>
    <t xml:space="preserve">2200/24 white</t>
  </si>
  <si>
    <t xml:space="preserve">Wire, AWG 24, stranded, irradiated PVC, brown</t>
  </si>
  <si>
    <t xml:space="preserve">2200/24 brown</t>
  </si>
  <si>
    <r>
      <rPr>
        <sz val="10"/>
        <rFont val="Arial"/>
        <family val="2"/>
        <charset val="1"/>
      </rPr>
      <t xml:space="preserve">Wire, </t>
    </r>
    <r>
      <rPr>
        <b val="true"/>
        <sz val="10"/>
        <rFont val="Arial"/>
        <family val="2"/>
        <charset val="1"/>
      </rPr>
      <t xml:space="preserve">AWG 22</t>
    </r>
    <r>
      <rPr>
        <sz val="10"/>
        <rFont val="Arial"/>
        <family val="2"/>
        <charset val="1"/>
      </rPr>
      <t xml:space="preserve">, stranded, irradiated PVC, black</t>
    </r>
  </si>
  <si>
    <t xml:space="preserve">Cap, ceramic, 22uF, 25V, 20%, X5R, SMT 0805</t>
  </si>
  <si>
    <t xml:space="preserve">C4,C19,C22,C25</t>
  </si>
  <si>
    <t xml:space="preserve">Samsung Electro-Mechanics</t>
  </si>
  <si>
    <t xml:space="preserve">CL21A226MAYNNNE</t>
  </si>
  <si>
    <t xml:space="preserve">1276-CL21A226MAYNNNECT-ND</t>
  </si>
  <si>
    <t xml:space="preserve">Cap, ceramic, 330pF, 50V, 5%, NP0, SMT 0805</t>
  </si>
  <si>
    <t xml:space="preserve">C23</t>
  </si>
  <si>
    <t xml:space="preserve">KEMET</t>
  </si>
  <si>
    <t xml:space="preserve">C0805C331J5GACTU</t>
  </si>
  <si>
    <t xml:space="preserve">399-C0805C331J5GACTUCT-ND</t>
  </si>
  <si>
    <t xml:space="preserve">Cap,ceramic, 10uF, 25V, X5R, 20%, SMD 0805</t>
  </si>
  <si>
    <t xml:space="preserve">C24</t>
  </si>
  <si>
    <t xml:space="preserve">Murata Electronics</t>
  </si>
  <si>
    <t xml:space="preserve">GRM21BR61E106KA73K</t>
  </si>
  <si>
    <t xml:space="preserve">490-16824-1-ND</t>
  </si>
  <si>
    <t xml:space="preserve">Cap, ceramic, 0.47uF, 250V, 10%, X7R, SMT 1812</t>
  </si>
  <si>
    <t xml:space="preserve">C18,C26,C27</t>
  </si>
  <si>
    <t xml:space="preserve">KYOCERA AVX</t>
  </si>
  <si>
    <t xml:space="preserve">1812PC474KAT2A</t>
  </si>
  <si>
    <t xml:space="preserve">478-10710-1-ND</t>
  </si>
  <si>
    <t xml:space="preserve">Cap, ceramic, 39nF, 50V, 10%, X7R, SMT 0805</t>
  </si>
  <si>
    <t xml:space="preserve">C15,C33</t>
  </si>
  <si>
    <t xml:space="preserve">YAGEO</t>
  </si>
  <si>
    <t xml:space="preserve">AC0805KRX7R9BB393</t>
  </si>
  <si>
    <t xml:space="preserve">13-AC0805KRX7R9BB393CT-ND</t>
  </si>
  <si>
    <t xml:space="preserve">Cap, ceramic, 0.1uF, 50V, X7R, 20%, SMD 0805</t>
  </si>
  <si>
    <t xml:space="preserve">C1, C2, C5, C6, C7, C8, C20, C28, C30, C32, C35</t>
  </si>
  <si>
    <t xml:space="preserve">C0805C104M5RAC7800</t>
  </si>
  <si>
    <t xml:space="preserve">399-C0805C104M5RAC7800CT-ND</t>
  </si>
  <si>
    <t xml:space="preserve">Cap, ceramic, 1uF, 10%, 25V, X7R, SMD 0805</t>
  </si>
  <si>
    <t xml:space="preserve">C14,C29,C31</t>
  </si>
  <si>
    <t xml:space="preserve">CL21B105KAFNNNE</t>
  </si>
  <si>
    <t xml:space="preserve">1276-1066-1-ND</t>
  </si>
  <si>
    <t xml:space="preserve">C0805C105K3RACTU</t>
  </si>
  <si>
    <t xml:space="preserve">Cap, ceramic, 470pF, 50V, 5%, NP0, SMT 0805</t>
  </si>
  <si>
    <t xml:space="preserve">C9</t>
  </si>
  <si>
    <t xml:space="preserve">C0805C471J5GAC7210</t>
  </si>
  <si>
    <t xml:space="preserve">399-C0805C471J5GAC7210CT-ND</t>
  </si>
  <si>
    <t xml:space="preserve">Cap, ceramic, 1600pF, 50V, 5%, NP0, SMT 0805</t>
  </si>
  <si>
    <t xml:space="preserve">C10</t>
  </si>
  <si>
    <t xml:space="preserve">C0805C162J5GACTU</t>
  </si>
  <si>
    <t xml:space="preserve">399-C0805C162J5GACTUCT-ND</t>
  </si>
  <si>
    <t xml:space="preserve">Cap, ceramic, 0.12uF, 50V, 10%, X7R, SMT 0805</t>
  </si>
  <si>
    <t xml:space="preserve">C11</t>
  </si>
  <si>
    <t xml:space="preserve">CC0805KRX7R9BB124</t>
  </si>
  <si>
    <t xml:space="preserve">311-4323-1-ND</t>
  </si>
  <si>
    <t xml:space="preserve">Cap, ceramic, 0.01uF, 50V, 5%, NP0, SMT 0805</t>
  </si>
  <si>
    <t xml:space="preserve">C12</t>
  </si>
  <si>
    <t xml:space="preserve">Walsin Technology Corp</t>
  </si>
  <si>
    <t xml:space="preserve">0805N103J500CT</t>
  </si>
  <si>
    <t xml:space="preserve">1292-0805N103J500CT-ND</t>
  </si>
  <si>
    <t xml:space="preserve">Cap, ceramic, 150pF, 50V, 5%, NP0, SMT 0805</t>
  </si>
  <si>
    <t xml:space="preserve">C13, C39</t>
  </si>
  <si>
    <t xml:space="preserve">C0805C151J5GACTU</t>
  </si>
  <si>
    <t xml:space="preserve">399-C0805C151J5GACTUCT-ND</t>
  </si>
  <si>
    <t xml:space="preserve">Cap, ceramic, 1.0uF, 250V, Tip &amp; Ring, SMT 1825</t>
  </si>
  <si>
    <t xml:space="preserve">C16</t>
  </si>
  <si>
    <t xml:space="preserve">1825PC105KAT2A</t>
  </si>
  <si>
    <t xml:space="preserve">478-8052-1-ND</t>
  </si>
  <si>
    <t xml:space="preserve">Cap, ceramic, 3.3uF, 10V, 10%, X5R, SMT 0805</t>
  </si>
  <si>
    <t xml:space="preserve">C17</t>
  </si>
  <si>
    <t xml:space="preserve">CL21A335KPFNNNE</t>
  </si>
  <si>
    <t xml:space="preserve">1276-2912-1-ND</t>
  </si>
  <si>
    <t xml:space="preserve">Cap, ceramic, 2.2uF, 16V, 10%, X7R, SMT 0805</t>
  </si>
  <si>
    <t xml:space="preserve">C3,C21</t>
  </si>
  <si>
    <t xml:space="preserve">CL21B225KOFNNNE</t>
  </si>
  <si>
    <t xml:space="preserve">1276-1162-1-ND</t>
  </si>
  <si>
    <t xml:space="preserve">Cap, ceramic, 390nF, 16V, 5%, X7R, SMT 0805</t>
  </si>
  <si>
    <t xml:space="preserve">C36</t>
  </si>
  <si>
    <t xml:space="preserve">0805YC394JAT2A</t>
  </si>
  <si>
    <t xml:space="preserve">478-10574-1-ND</t>
  </si>
  <si>
    <t xml:space="preserve">Cap, ceramic, 5.6nF, 50V, 5%, NP0, SMT 0805</t>
  </si>
  <si>
    <t xml:space="preserve">C37</t>
  </si>
  <si>
    <t xml:space="preserve">GRM2195C2A562JA01D</t>
  </si>
  <si>
    <t xml:space="preserve">490-GRM2195C2A562JA01DCT-ND</t>
  </si>
  <si>
    <t xml:space="preserve">Cap, ceramic, 560pF, 50V, 5%, NP0, SMT 0805</t>
  </si>
  <si>
    <t xml:space="preserve">C34</t>
  </si>
  <si>
    <t xml:space="preserve">CC0805JRNPO9BN561</t>
  </si>
  <si>
    <t xml:space="preserve">311-1120-1-ND</t>
  </si>
  <si>
    <t xml:space="preserve">Cap, alum-poly, 100uF, 25V, 20%, 6.6x6.6, 6mm tall, SMT</t>
  </si>
  <si>
    <t xml:space="preserve">C38</t>
  </si>
  <si>
    <t xml:space="preserve">A768EB107M1ELAS036</t>
  </si>
  <si>
    <t xml:space="preserve">399-A768EB107M1ELAS036CT-ND</t>
  </si>
  <si>
    <t xml:space="preserve">478-APA0609101M025RCT-ND</t>
  </si>
  <si>
    <t xml:space="preserve">Diode, Schottkey, 30V, 500mA, SOD-123, MBR0530</t>
  </si>
  <si>
    <t xml:space="preserve">D20,D21,D22,D23</t>
  </si>
  <si>
    <t xml:space="preserve">Micro Commercial Co</t>
  </si>
  <si>
    <t xml:space="preserve">MBR0530-TP</t>
  </si>
  <si>
    <t xml:space="preserve">MBR0530TPMSCT-ND</t>
  </si>
  <si>
    <t xml:space="preserve">Diode, 1000V, 1A, SMT SMA, M7</t>
  </si>
  <si>
    <t xml:space="preserve">D24,D25</t>
  </si>
  <si>
    <t xml:space="preserve">Diotec Semiconductor</t>
  </si>
  <si>
    <t xml:space="preserve">M7</t>
  </si>
  <si>
    <t xml:space="preserve">4878-M7CT-ND</t>
  </si>
  <si>
    <t xml:space="preserve">Diode, dual, 300mA, 75V, SOT-23</t>
  </si>
  <si>
    <t xml:space="preserve">D1,D2,D3</t>
  </si>
  <si>
    <t xml:space="preserve">Diodes Incorporated</t>
  </si>
  <si>
    <t xml:space="preserve">BAV99-7-F</t>
  </si>
  <si>
    <t xml:space="preserve">BAV99-FDICT-ND</t>
  </si>
  <si>
    <t xml:space="preserve">onsemi</t>
  </si>
  <si>
    <t xml:space="preserve">BAV99LT1G</t>
  </si>
  <si>
    <t xml:space="preserve">Diode, TVS, unidirectional, 5.0V, SMT SMA, SMAJ5.0A</t>
  </si>
  <si>
    <t xml:space="preserve">D4</t>
  </si>
  <si>
    <t xml:space="preserve">P4SMAJ5.0A</t>
  </si>
  <si>
    <t xml:space="preserve">4878-P4SMAJ5.0ACT-ND</t>
  </si>
  <si>
    <t xml:space="preserve">MCC (Micro Commercial Components)</t>
  </si>
  <si>
    <t xml:space="preserve">SMAJ5.0A-TP</t>
  </si>
  <si>
    <t xml:space="preserve">SMAJ5.0A/TR13</t>
  </si>
  <si>
    <t xml:space="preserve">Diode, 1A, 1000V, SOD-123F, SLM1</t>
  </si>
  <si>
    <t xml:space="preserve">D5,D6,D7,D8,D9,D10,D11,D12</t>
  </si>
  <si>
    <t xml:space="preserve">SL1M</t>
  </si>
  <si>
    <t xml:space="preserve">4878-SL1MCT-ND</t>
  </si>
  <si>
    <t xml:space="preserve">Diode, zener, 12V, 5%, SOD-123</t>
  </si>
  <si>
    <t xml:space="preserve">D13,D14</t>
  </si>
  <si>
    <t xml:space="preserve">BZT52C12-TP</t>
  </si>
  <si>
    <t xml:space="preserve">BZT52C12-TPMSCT-ND</t>
  </si>
  <si>
    <t xml:space="preserve">Diode, 150mA, 75V, SOD-123, 1N4148W</t>
  </si>
  <si>
    <t xml:space="preserve">D15,D17,D18</t>
  </si>
  <si>
    <t xml:space="preserve">1N4148W-13-F</t>
  </si>
  <si>
    <t xml:space="preserve">1N4148W-13FDICT-ND</t>
  </si>
  <si>
    <t xml:space="preserve">Diode, thyristor, 150V, SMT SMA, TISP4145</t>
  </si>
  <si>
    <t xml:space="preserve">D16</t>
  </si>
  <si>
    <t xml:space="preserve">Bourns Inc.</t>
  </si>
  <si>
    <t xml:space="preserve">TISP4145M3BJR-S</t>
  </si>
  <si>
    <t xml:space="preserve">TISP4145M3BJR-SCT-ND</t>
  </si>
  <si>
    <t xml:space="preserve">TISP4145H3BJR-S</t>
  </si>
  <si>
    <t xml:space="preserve">Diode, Schottky, 1A, 20V, &lt;0.4V, SOT-123</t>
  </si>
  <si>
    <t xml:space="preserve">D19</t>
  </si>
  <si>
    <t xml:space="preserve">Panjit International Inc.</t>
  </si>
  <si>
    <t xml:space="preserve">MBR1020VL-AU_R1_000A1</t>
  </si>
  <si>
    <t xml:space="preserve">3757-MBR1020VL-AU_R1_000A1CT-ND</t>
  </si>
  <si>
    <t xml:space="preserve">MBR120VLSFT1G</t>
  </si>
  <si>
    <t xml:space="preserve">Diodes Inc.</t>
  </si>
  <si>
    <t xml:space="preserve">DFLS120LQ-7</t>
  </si>
  <si>
    <t xml:space="preserve">Minimum Vf, &lt;0.4V</t>
  </si>
  <si>
    <t xml:space="preserve">Diode, LED, red, SMT 1206</t>
  </si>
  <si>
    <t xml:space="preserve">D26</t>
  </si>
  <si>
    <t xml:space="preserve">APT3216SECK/J3-PRV</t>
  </si>
  <si>
    <t xml:space="preserve">754-1796-1-ND</t>
  </si>
  <si>
    <t xml:space="preserve">optional</t>
  </si>
  <si>
    <t xml:space="preserve">Connector, JST XA, 8-pin, right angle, TH</t>
  </si>
  <si>
    <t xml:space="preserve">J3</t>
  </si>
  <si>
    <t xml:space="preserve">S08B-XASK-1</t>
  </si>
  <si>
    <t xml:space="preserve">Digkey</t>
  </si>
  <si>
    <t xml:space="preserve">455-S08B-XASK-1-ND</t>
  </si>
  <si>
    <t xml:space="preserve">Connector, JST XA, 4-pin, right angle, TH</t>
  </si>
  <si>
    <t xml:space="preserve">J2,J4</t>
  </si>
  <si>
    <t xml:space="preserve">S04B-XASK-1</t>
  </si>
  <si>
    <t xml:space="preserve">455-4090-ND</t>
  </si>
  <si>
    <t xml:space="preserve">Connector, JST VH, 2-pin, right angle, TH</t>
  </si>
  <si>
    <t xml:space="preserve">J5</t>
  </si>
  <si>
    <t xml:space="preserve">S2P-VH</t>
  </si>
  <si>
    <t xml:space="preserve">455-S2P-VH-ND</t>
  </si>
  <si>
    <t xml:space="preserve">Connector, JST XA, 5-pin, right angle, TH</t>
  </si>
  <si>
    <t xml:space="preserve">J1</t>
  </si>
  <si>
    <t xml:space="preserve">S05B-XASK-1</t>
  </si>
  <si>
    <t xml:space="preserve">455-S05B-XASK-1-ND</t>
  </si>
  <si>
    <t xml:space="preserve">Connector, 0.1” header, 3-pin, female, TH, programming</t>
  </si>
  <si>
    <t xml:space="preserve">J6</t>
  </si>
  <si>
    <t xml:space="preserve">Samtec Inc.</t>
  </si>
  <si>
    <t xml:space="preserve">SLW-103-01-F-S</t>
  </si>
  <si>
    <t xml:space="preserve">SAM15260-ND</t>
  </si>
  <si>
    <t xml:space="preserve">Inductor, 12mH, radial, D8.5mm x 11.2 tall, TH</t>
  </si>
  <si>
    <t xml:space="preserve">L1, L2</t>
  </si>
  <si>
    <t xml:space="preserve">Abracon LLC</t>
  </si>
  <si>
    <t xml:space="preserve">AIUR-04-123J</t>
  </si>
  <si>
    <t xml:space="preserve">AIUR-04-123J-ND</t>
  </si>
  <si>
    <t xml:space="preserve">Inductor, 15uH, 2A, 5x5mm or 6.3x6.6.0mm, SMT</t>
  </si>
  <si>
    <t xml:space="preserve">L3</t>
  </si>
  <si>
    <t xml:space="preserve">Laird-Signal Integrity Products</t>
  </si>
  <si>
    <t xml:space="preserve">TYS5040150M-10</t>
  </si>
  <si>
    <t xml:space="preserve">240-2712-1-ND</t>
  </si>
  <si>
    <t xml:space="preserve">EPCOS - TDK Electronics</t>
  </si>
  <si>
    <t xml:space="preserve">B82562N4153M000</t>
  </si>
  <si>
    <t xml:space="preserve">Würth Elektronik</t>
  </si>
  <si>
    <t xml:space="preserve">Transistor, NPN, 40V, 600mA, SOT-23, MMBT4401</t>
  </si>
  <si>
    <t xml:space="preserve">Q2,Q6,Q8,Q14</t>
  </si>
  <si>
    <t xml:space="preserve">MMBT4401-TP</t>
  </si>
  <si>
    <t xml:space="preserve">MMBT4401TPMSCT-ND</t>
  </si>
  <si>
    <t xml:space="preserve">MMBT4401-7-F</t>
  </si>
  <si>
    <t xml:space="preserve">Good-Ark Semiconductor</t>
  </si>
  <si>
    <t xml:space="preserve">MMBT4401</t>
  </si>
  <si>
    <t xml:space="preserve">Transistor, PNP, 40V, 600mA, SOT-23, MMBT4403</t>
  </si>
  <si>
    <t xml:space="preserve">Q3,Q4,Q5,Q7</t>
  </si>
  <si>
    <t xml:space="preserve">MMBT4403-TP</t>
  </si>
  <si>
    <t xml:space="preserve">MMBT4403-TPCT-ND</t>
  </si>
  <si>
    <t xml:space="preserve">ANBON SEMICONDUCTOR (INT'L) LIMITED</t>
  </si>
  <si>
    <t xml:space="preserve">MMBT4403</t>
  </si>
  <si>
    <t xml:space="preserve">MMBT4403LT1G</t>
  </si>
  <si>
    <t xml:space="preserve">MOSFET, N-channel, 30V, 5A, SOT-23</t>
  </si>
  <si>
    <t xml:space="preserve">Q1</t>
  </si>
  <si>
    <t xml:space="preserve">GSF3404</t>
  </si>
  <si>
    <t xml:space="preserve">4786-GSF3404CT-ND</t>
  </si>
  <si>
    <t xml:space="preserve">Transistor, NPN, 300V, 500mA, SOT-23, MMBTA42</t>
  </si>
  <si>
    <t xml:space="preserve">Q10,Q13</t>
  </si>
  <si>
    <t xml:space="preserve">MMBTA42-7-F</t>
  </si>
  <si>
    <t xml:space="preserve">MMBTA42-FDICT-ND</t>
  </si>
  <si>
    <t xml:space="preserve">Transistor, PNP, 300V, 500mA, SOT-23, MMBTA92</t>
  </si>
  <si>
    <t xml:space="preserve">Q11,Q12</t>
  </si>
  <si>
    <t xml:space="preserve">MMBTA92-7-F</t>
  </si>
  <si>
    <t xml:space="preserve">MMBTA92-FDICT-ND</t>
  </si>
  <si>
    <t xml:space="preserve">Transistor, MOSFET, P-chan,, &gt;20V, &gt;600mA, SOIC-8</t>
  </si>
  <si>
    <t xml:space="preserve">Q9</t>
  </si>
  <si>
    <t xml:space="preserve">DMP3085LSS-13</t>
  </si>
  <si>
    <t xml:space="preserve">DMP3085LSS-13DICT-ND</t>
  </si>
  <si>
    <t xml:space="preserve">PJL9407_R2_00001</t>
  </si>
  <si>
    <t xml:space="preserve">Taiwan Semiconductor Corporation</t>
  </si>
  <si>
    <t xml:space="preserve">TSM600P03CS RLG</t>
  </si>
  <si>
    <t xml:space="preserve">Resistor, 49.9R, 1%, SMD 0805</t>
  </si>
  <si>
    <t xml:space="preserve">R21</t>
  </si>
  <si>
    <t xml:space="preserve">YAEGO</t>
  </si>
  <si>
    <t xml:space="preserve">RC0805FR-0749R9L</t>
  </si>
  <si>
    <t xml:space="preserve">311-49.9CRCT-ND</t>
  </si>
  <si>
    <t xml:space="preserve">Resistor, 499R, 1%, SMD 0805</t>
  </si>
  <si>
    <t xml:space="preserve">R20,R27</t>
  </si>
  <si>
    <t xml:space="preserve">RC0805FR-07499RL</t>
  </si>
  <si>
    <t xml:space="preserve">311-499CRCT-ND</t>
  </si>
  <si>
    <t xml:space="preserve">Resistor, 16 ohms, 5%, 3W, pulse-withstanding, SMD 2512</t>
  </si>
  <si>
    <t xml:space="preserve">R17,R18</t>
  </si>
  <si>
    <t xml:space="preserve">Rohm Semiconductor</t>
  </si>
  <si>
    <t xml:space="preserve">LTR100JZPJ160</t>
  </si>
  <si>
    <t xml:space="preserve">846-LTR100JZPJ160CT-ND</t>
  </si>
  <si>
    <t xml:space="preserve">TE Connectivity</t>
  </si>
  <si>
    <t xml:space="preserve">3430A3F16RTDF</t>
  </si>
  <si>
    <t xml:space="preserve">Resistor, 30.1K, 1%, SMD 0805</t>
  </si>
  <si>
    <t xml:space="preserve">R22</t>
  </si>
  <si>
    <t xml:space="preserve">RC0805FR-0730K1L</t>
  </si>
  <si>
    <t xml:space="preserve">311-30.1KCRCT-ND</t>
  </si>
  <si>
    <t xml:space="preserve">Resistor, 200K, 1%, SMD 0805</t>
  </si>
  <si>
    <t xml:space="preserve">R19,R51,R52,R60,R61,R62</t>
  </si>
  <si>
    <t xml:space="preserve">RC0805FR-07200KL</t>
  </si>
  <si>
    <t xml:space="preserve">311-200KCRCT-ND</t>
  </si>
  <si>
    <t xml:space="preserve">Resistor, 100K, 1%, SMD 0805</t>
  </si>
  <si>
    <t xml:space="preserve">R8,R10,R11,R13,R14,R29,R31</t>
  </si>
  <si>
    <t xml:space="preserve">RC0805FR-07100KL</t>
  </si>
  <si>
    <t xml:space="preserve">311-100KCRCT-ND</t>
  </si>
  <si>
    <t xml:space="preserve">Resistor, 10.0K, 1%, SMD 0805</t>
  </si>
  <si>
    <t xml:space="preserve">R1,R3,R35,R49,R50,R56</t>
  </si>
  <si>
    <t xml:space="preserve">RC0805FR-0710KL</t>
  </si>
  <si>
    <t xml:space="preserve">311-10.0KCRCT-ND</t>
  </si>
  <si>
    <t xml:space="preserve">Resistor, 2.00K, 1%, SMD 0805</t>
  </si>
  <si>
    <t xml:space="preserve">R12,R36,R44,R55</t>
  </si>
  <si>
    <t xml:space="preserve">RC0805FR-072KL</t>
  </si>
  <si>
    <t xml:space="preserve">311-2.00KCRCT-ND</t>
  </si>
  <si>
    <t xml:space="preserve">Resistor, 90.9K, 1%, SMD 0805</t>
  </si>
  <si>
    <t xml:space="preserve">R34,R58</t>
  </si>
  <si>
    <t xml:space="preserve">RC0805FR-0790K9L</t>
  </si>
  <si>
    <t xml:space="preserve">311-90.9KCRCT-ND</t>
  </si>
  <si>
    <t xml:space="preserve">Resistor, 1.00K, 1%, SMD 0805</t>
  </si>
  <si>
    <t xml:space="preserve">R16,R24,R28,R30</t>
  </si>
  <si>
    <t xml:space="preserve">RC0805FR-071KL</t>
  </si>
  <si>
    <t xml:space="preserve">311-1.00KCRCT-ND</t>
  </si>
  <si>
    <t xml:space="preserve">Resistor, 66.5R</t>
  </si>
  <si>
    <t xml:space="preserve">R37,R40</t>
  </si>
  <si>
    <t xml:space="preserve">RC0805FR-0766R5L</t>
  </si>
  <si>
    <t xml:space="preserve">311-66.5CRCT-ND</t>
  </si>
  <si>
    <t xml:space="preserve">Resistor, 1.00R, 1%, SMD 0805</t>
  </si>
  <si>
    <t xml:space="preserve">R39</t>
  </si>
  <si>
    <t xml:space="preserve">RC0805FR-071RL</t>
  </si>
  <si>
    <t xml:space="preserve">311-1.00CRCT-ND</t>
  </si>
  <si>
    <t xml:space="preserve">Resistor, 806R, 1%, SMD 0805</t>
  </si>
  <si>
    <t xml:space="preserve">R15</t>
  </si>
  <si>
    <t xml:space="preserve">RC0805FR-07806RL</t>
  </si>
  <si>
    <t xml:space="preserve">311-806CRCT-ND</t>
  </si>
  <si>
    <t xml:space="preserve">Resistor, 11.0K, 1%, SMD 0805</t>
  </si>
  <si>
    <t xml:space="preserve">R6</t>
  </si>
  <si>
    <t xml:space="preserve">RC0805FR-0711KL</t>
  </si>
  <si>
    <t xml:space="preserve">311-11.0KCRCT-ND</t>
  </si>
  <si>
    <t xml:space="preserve">Resistor, 20.0K, 1%, SMD 0805</t>
  </si>
  <si>
    <t xml:space="preserve">R2,R4,R7,R25,R26,R45,R46,R57</t>
  </si>
  <si>
    <t xml:space="preserve">RC0805FR-0720KL</t>
  </si>
  <si>
    <t xml:space="preserve">311-20.0KCRCT-ND</t>
  </si>
  <si>
    <t xml:space="preserve">Resistor, 16.9K, 1%, SMD 0805</t>
  </si>
  <si>
    <t xml:space="preserve">R9</t>
  </si>
  <si>
    <t xml:space="preserve">RC0805FR-0716K9L</t>
  </si>
  <si>
    <t xml:space="preserve">311-16.9KCRCT-ND</t>
  </si>
  <si>
    <t xml:space="preserve">Resistor, 4.99K, 1%, SMD 0805</t>
  </si>
  <si>
    <t xml:space="preserve">R32, R38,R42,R47,R48</t>
  </si>
  <si>
    <t xml:space="preserve">RC0805FR-074K99L</t>
  </si>
  <si>
    <t xml:space="preserve">311-4.99KCRCT-ND</t>
  </si>
  <si>
    <t xml:space="preserve">Resistor, 100R, 1%, SMD 1210</t>
  </si>
  <si>
    <t xml:space="preserve">R53,R54</t>
  </si>
  <si>
    <t xml:space="preserve">Stackpole Electronics</t>
  </si>
  <si>
    <t xml:space="preserve">RMCF1210JT100R</t>
  </si>
  <si>
    <t xml:space="preserve">RMCF1210JT100RCT-ND</t>
  </si>
  <si>
    <t xml:space="preserve">Resistor, 31.6K, 1%, SMD 0805</t>
  </si>
  <si>
    <t xml:space="preserve">R5</t>
  </si>
  <si>
    <t xml:space="preserve">RC0805FR-0731K6L</t>
  </si>
  <si>
    <t xml:space="preserve">311-31.6KCRCT-ND</t>
  </si>
  <si>
    <t xml:space="preserve">Resistor, 499K, 1%, SMD 0805</t>
  </si>
  <si>
    <t xml:space="preserve">R23,R59</t>
  </si>
  <si>
    <t xml:space="preserve">RC0805FR-07499KL</t>
  </si>
  <si>
    <t xml:space="preserve">311-499KCRCT-ND</t>
  </si>
  <si>
    <t xml:space="preserve">Resistor, 5.60K, 1%, SMD 0805</t>
  </si>
  <si>
    <t xml:space="preserve">R68,R74</t>
  </si>
  <si>
    <t xml:space="preserve">RC0805FR-075K6L</t>
  </si>
  <si>
    <t xml:space="preserve">311-5.60KCRCT-ND</t>
  </si>
  <si>
    <t xml:space="preserve">Resistor, 9.09K, 1%, SMD 0805</t>
  </si>
  <si>
    <t xml:space="preserve">R66,R72</t>
  </si>
  <si>
    <t xml:space="preserve">RC0805FR-079K09L</t>
  </si>
  <si>
    <t xml:space="preserve">311-9.09KCRCT-ND</t>
  </si>
  <si>
    <t xml:space="preserve">Resistor, 332R, 1%, SMD 0805</t>
  </si>
  <si>
    <t xml:space="preserve">R63,R69</t>
  </si>
  <si>
    <t xml:space="preserve">RC0805FR-07332RL</t>
  </si>
  <si>
    <t xml:space="preserve">311-332CRCT-ND</t>
  </si>
  <si>
    <t xml:space="preserve">Resistor, 845R, 1%, SMD 0805</t>
  </si>
  <si>
    <t xml:space="preserve">R64,R70</t>
  </si>
  <si>
    <t xml:space="preserve">RC0805FR-07845RL</t>
  </si>
  <si>
    <t xml:space="preserve">311-845CRCT-ND</t>
  </si>
  <si>
    <t xml:space="preserve">Resistor, 143K, 1%, SMD 0805</t>
  </si>
  <si>
    <t xml:space="preserve">R65,R71</t>
  </si>
  <si>
    <t xml:space="preserve">RC0805FR-07143KL</t>
  </si>
  <si>
    <t xml:space="preserve">311-143KCRCT-ND</t>
  </si>
  <si>
    <t xml:space="preserve">Resistor, 464R, 1%, SMD 0805</t>
  </si>
  <si>
    <t xml:space="preserve">R67,R73</t>
  </si>
  <si>
    <t xml:space="preserve">RC0805FR-07464RL</t>
  </si>
  <si>
    <t xml:space="preserve">311-464CRCT-ND</t>
  </si>
  <si>
    <t xml:space="preserve">Resistor, 121K, 1%, SMD 0805</t>
  </si>
  <si>
    <t xml:space="preserve">R41</t>
  </si>
  <si>
    <t xml:space="preserve">RC0805FR-07121KL</t>
  </si>
  <si>
    <t xml:space="preserve">311-121KCRCT-ND</t>
  </si>
  <si>
    <t xml:space="preserve">Resistor, 100R, 1%, SMD 0805</t>
  </si>
  <si>
    <t xml:space="preserve">R43</t>
  </si>
  <si>
    <t xml:space="preserve">RC0805FR-13100RL</t>
  </si>
  <si>
    <t xml:space="preserve">13-RC0805FR-13100RLCT-ND</t>
  </si>
  <si>
    <t xml:space="preserve">Resistor, 200R, 1%, SMD 0805</t>
  </si>
  <si>
    <t xml:space="preserve">R75</t>
  </si>
  <si>
    <t xml:space="preserve">RC0805FR-07200RL</t>
  </si>
  <si>
    <t xml:space="preserve">311-200CRCT-ND</t>
  </si>
  <si>
    <t xml:space="preserve">Transformer, bobbin</t>
  </si>
  <si>
    <t xml:space="preserve">T1A</t>
  </si>
  <si>
    <t xml:space="preserve">B65820W1008D001</t>
  </si>
  <si>
    <t xml:space="preserve">495-5307-ND</t>
  </si>
  <si>
    <t xml:space="preserve">Transformer, ferrite, pair</t>
  </si>
  <si>
    <t xml:space="preserve">T1B</t>
  </si>
  <si>
    <t xml:space="preserve">B65819J0000R087</t>
  </si>
  <si>
    <t xml:space="preserve">495-75901-ND</t>
  </si>
  <si>
    <t xml:space="preserve">Transformer, RM7 clamp</t>
  </si>
  <si>
    <t xml:space="preserve">T1C</t>
  </si>
  <si>
    <t xml:space="preserve">B65820B2001X000</t>
  </si>
  <si>
    <t xml:space="preserve">495-5306-ND</t>
  </si>
  <si>
    <t xml:space="preserve">IC, analog switch, SOT-23-5, 74LVC1G66</t>
  </si>
  <si>
    <t xml:space="preserve">U3,U8</t>
  </si>
  <si>
    <t xml:space="preserve">Texas Instruments</t>
  </si>
  <si>
    <t xml:space="preserve">SN74LVC1G66DBVR</t>
  </si>
  <si>
    <t xml:space="preserve">296-13253-1-ND</t>
  </si>
  <si>
    <t xml:space="preserve">3PEAK</t>
  </si>
  <si>
    <t xml:space="preserve">TPW3115-S5TR</t>
  </si>
  <si>
    <t xml:space="preserve">UMW</t>
  </si>
  <si>
    <t xml:space="preserve">IC, dual opamp, TLV9052, SOIC-8</t>
  </si>
  <si>
    <t xml:space="preserve">U2</t>
  </si>
  <si>
    <t xml:space="preserve">TLV9052IDR</t>
  </si>
  <si>
    <t xml:space="preserve">296-53049-1-ND</t>
  </si>
  <si>
    <t xml:space="preserve">IC, optocoupler, TLV-817, DIP-4</t>
  </si>
  <si>
    <t xml:space="preserve">U4</t>
  </si>
  <si>
    <t xml:space="preserve">Lite-On Inc.</t>
  </si>
  <si>
    <t xml:space="preserve">LTV-816S-TA1</t>
  </si>
  <si>
    <t xml:space="preserve">160-1892-1-ND</t>
  </si>
  <si>
    <t xml:space="preserve">American Bright Optoelectronics Corporation</t>
  </si>
  <si>
    <t xml:space="preserve">APC-817D1-SL</t>
  </si>
  <si>
    <t xml:space="preserve">QT Brightek (QTB)</t>
  </si>
  <si>
    <t xml:space="preserve">Q817CST1</t>
  </si>
  <si>
    <t xml:space="preserve">IC, audio amplfier, TPA321, SOIC-8</t>
  </si>
  <si>
    <t xml:space="preserve">U1,U5</t>
  </si>
  <si>
    <t xml:space="preserve">TPA321DR</t>
  </si>
  <si>
    <t xml:space="preserve">296-46365-1-ND</t>
  </si>
  <si>
    <t xml:space="preserve">IC, opamp, dual, SOIC-8, TLV9002</t>
  </si>
  <si>
    <t xml:space="preserve">U14</t>
  </si>
  <si>
    <t xml:space="preserve">TLV9002IDR</t>
  </si>
  <si>
    <t xml:space="preserve">296-47596-1-ND</t>
  </si>
  <si>
    <t xml:space="preserve">IC, opamp, single, SOT23-5, TLV9001</t>
  </si>
  <si>
    <t xml:space="preserve">U9,U13</t>
  </si>
  <si>
    <t xml:space="preserve">TLV9001IDBVR</t>
  </si>
  <si>
    <t xml:space="preserve">296-TLV9001IDBVRCT-ND</t>
  </si>
  <si>
    <t xml:space="preserve">IC, comparator, dual, SOIC-8, TS3702</t>
  </si>
  <si>
    <t xml:space="preserve">U7</t>
  </si>
  <si>
    <t xml:space="preserve">STMicroelectronics</t>
  </si>
  <si>
    <t xml:space="preserve">TS3702IDT</t>
  </si>
  <si>
    <t xml:space="preserve">497-2267-1-ND</t>
  </si>
  <si>
    <t xml:space="preserve">TS3702CDT</t>
  </si>
  <si>
    <t xml:space="preserve">TLC3702IDR</t>
  </si>
  <si>
    <t xml:space="preserve">IC, microprocessor, SOIC-20, ATtiny406</t>
  </si>
  <si>
    <t xml:space="preserve">U11</t>
  </si>
  <si>
    <t xml:space="preserve">Microchip Technology</t>
  </si>
  <si>
    <t xml:space="preserve">ATTINY406-SNR</t>
  </si>
  <si>
    <t xml:space="preserve">ATTINY406-SNRCT-ND</t>
  </si>
  <si>
    <t xml:space="preserve">ATTINY406-SFR</t>
  </si>
  <si>
    <t xml:space="preserve">IC, AND gate, single, SOT-23-5, 74AHC1G08</t>
  </si>
  <si>
    <t xml:space="preserve">U12</t>
  </si>
  <si>
    <t xml:space="preserve">SN74AHC1G08DBVR</t>
  </si>
  <si>
    <t xml:space="preserve">296-1091-1-ND</t>
  </si>
  <si>
    <t xml:space="preserve">IC, switching supply regulator, SOT-23-5, LM2735Y</t>
  </si>
  <si>
    <t xml:space="preserve">U6</t>
  </si>
  <si>
    <t xml:space="preserve">LM2735YMFX/NOPB</t>
  </si>
  <si>
    <t xml:space="preserve">296-38711-1-ND</t>
  </si>
  <si>
    <t xml:space="preserve">IC, regulator, LDO, 2.5V, SOT-23-5, TPS7A2025</t>
  </si>
  <si>
    <t xml:space="preserve">U10</t>
  </si>
  <si>
    <t xml:space="preserve">TPS7A2025PDBVR</t>
  </si>
  <si>
    <t xml:space="preserve">296-TPS7A2025PDBVRCT-ND</t>
  </si>
  <si>
    <t xml:space="preserve">PCB</t>
  </si>
  <si>
    <t xml:space="preserve">OSH Park</t>
  </si>
  <si>
    <t xml:space="preserve">internal</t>
  </si>
  <si>
    <t xml:space="preserve">OSHpark</t>
  </si>
  <si>
    <t xml:space="preserve">estimated cost</t>
  </si>
  <si>
    <t xml:space="preserve">Total Cost =</t>
  </si>
  <si>
    <t xml:space="preserve">Small O-ring</t>
  </si>
  <si>
    <t xml:space="preserve">1174N781</t>
  </si>
  <si>
    <t xml:space="preserve">old</t>
  </si>
  <si>
    <t xml:space="preserve">1174N422</t>
  </si>
  <si>
    <t xml:space="preserve">Large O-ring</t>
  </si>
  <si>
    <t xml:space="preserve">1302N155</t>
  </si>
  <si>
    <t xml:space="preserve">Future Components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</si>
</sst>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$-409]#,##0.00;[RED]\-[$$-409]#,##0.00"/>
    <numFmt numFmtId="166" formatCode="0"/>
    <numFmt numFmtId="167" formatCode="_(\$* #,##0.00_);_(\$* \(#,##0.00\);_(\$* \-??_);_(@_)"/>
    <numFmt numFmtId="168" formatCode="\$#,##0.00_);[RED]&quot;($&quot;#,##0.00\)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sz val="10"/>
      <color rgb="FF3465A4"/>
      <name val="Arial"/>
      <family val="2"/>
      <charset val="1"/>
    </font>
    <font>
      <sz val="10"/>
      <color rgb="FF5983B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33CCCC"/>
      <name val="Arial"/>
      <family val="2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3366FF"/>
        <bgColor rgb="FF3465A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tru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1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tru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2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5" fontId="7" fillId="0" borderId="0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346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pane xSplit="0" ySplit="630" topLeftCell="Q64" activePane="bottomLeft" state="split"/>
      <selection pane="topLeft" activeCell="E1" activeCellId="0" sqref="E1"/>
      <selection pane="bottomLeft" activeCell="K78" activeCellId="0" sqref="K78"/>
    </sheetView>
  </sheetViews>
  <sheetFormatPr defaultColWidth="8.8046875" defaultRowHeight="14.65" zeroHeight="false" outlineLevelRow="0" outlineLevelCol="0"/>
  <cols>
    <col collapsed="false" customWidth="true" hidden="false" outlineLevel="0" max="1" min="1" style="1" width="12.95"/>
    <col collapsed="false" customWidth="true" hidden="false" outlineLevel="0" max="2" min="2" style="1" width="4.48"/>
    <col collapsed="false" customWidth="true" hidden="false" outlineLevel="0" max="3" min="3" style="1" width="11.5"/>
    <col collapsed="false" customWidth="true" hidden="false" outlineLevel="0" max="4" min="4" style="1" width="51.8"/>
    <col collapsed="false" customWidth="true" hidden="false" outlineLevel="0" max="5" min="5" style="1" width="20.51"/>
    <col collapsed="false" customWidth="true" hidden="false" outlineLevel="0" max="6" min="6" style="2" width="6.08"/>
    <col collapsed="false" customWidth="true" hidden="false" outlineLevel="0" max="7" min="7" style="2" width="4.52"/>
    <col collapsed="false" customWidth="true" hidden="false" outlineLevel="0" max="8" min="8" style="2" width="9.52"/>
    <col collapsed="false" customWidth="true" hidden="false" outlineLevel="0" max="9" min="9" style="1" width="23.48"/>
    <col collapsed="false" customWidth="true" hidden="false" outlineLevel="0" max="10" min="10" style="1" width="25.51"/>
    <col collapsed="false" customWidth="true" hidden="false" outlineLevel="0" max="11" min="11" style="1" width="12.08"/>
    <col collapsed="false" customWidth="true" hidden="false" outlineLevel="0" max="12" min="12" style="1" width="33.16"/>
    <col collapsed="false" customWidth="true" hidden="false" outlineLevel="0" max="13" min="13" style="1" width="27.3"/>
    <col collapsed="false" customWidth="true" hidden="false" outlineLevel="0" max="14" min="14" style="1" width="28.2"/>
    <col collapsed="false" customWidth="true" hidden="false" outlineLevel="0" max="15" min="15" style="1" width="22.89"/>
    <col collapsed="false" customWidth="true" hidden="false" outlineLevel="0" max="16" min="16" style="1" width="22.76"/>
    <col collapsed="false" customWidth="true" hidden="false" outlineLevel="0" max="17" min="17" style="3" width="9.48"/>
    <col collapsed="false" customWidth="true" hidden="false" outlineLevel="0" max="18" min="18" style="3" width="11.66"/>
    <col collapsed="false" customWidth="true" hidden="false" outlineLevel="0" max="19" min="19" style="3" width="10.2"/>
    <col collapsed="false" customWidth="true" hidden="false" outlineLevel="0" max="20" min="20" style="1" width="13.5"/>
    <col collapsed="false" customWidth="true" hidden="false" outlineLevel="0" max="21" min="21" style="1" width="43"/>
    <col collapsed="false" customWidth="true" hidden="false" outlineLevel="0" max="22" min="22" style="1" width="11.5"/>
    <col collapsed="false" customWidth="false" hidden="false" outlineLevel="0" max="257" min="23" style="1" width="8.8"/>
  </cols>
  <sheetData>
    <row r="1" customFormat="false" ht="14.6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7"/>
    </row>
    <row r="2" s="18" customFormat="true" ht="14.65" hidden="false" customHeight="false" outlineLevel="0" collapsed="false">
      <c r="A2" s="8"/>
      <c r="B2" s="9"/>
      <c r="C2" s="10"/>
      <c r="D2" s="11" t="s">
        <v>20</v>
      </c>
      <c r="E2" s="12"/>
      <c r="F2" s="13"/>
      <c r="G2" s="13"/>
      <c r="H2" s="13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6"/>
      <c r="U2" s="17"/>
    </row>
    <row r="3" s="18" customFormat="true" ht="14.65" hidden="false" customHeight="false" outlineLevel="0" collapsed="false">
      <c r="A3" s="8"/>
      <c r="B3" s="8"/>
      <c r="C3" s="10"/>
      <c r="D3" s="19" t="s">
        <v>21</v>
      </c>
      <c r="E3" s="10"/>
      <c r="F3" s="20" t="n">
        <v>1</v>
      </c>
      <c r="G3" s="20" t="s">
        <v>22</v>
      </c>
      <c r="H3" s="20" t="s">
        <v>23</v>
      </c>
      <c r="I3" s="17"/>
      <c r="J3" s="17"/>
      <c r="K3" s="17"/>
      <c r="L3" s="17"/>
      <c r="M3" s="17"/>
      <c r="N3" s="17"/>
      <c r="O3" s="17"/>
      <c r="P3" s="17"/>
      <c r="Q3" s="15"/>
      <c r="R3" s="15"/>
      <c r="S3" s="15"/>
      <c r="T3" s="16"/>
      <c r="U3" s="17"/>
    </row>
    <row r="4" s="18" customFormat="true" ht="14.65" hidden="false" customHeight="false" outlineLevel="0" collapsed="false">
      <c r="A4" s="8"/>
      <c r="B4" s="8"/>
      <c r="C4" s="10"/>
      <c r="D4" s="21" t="s">
        <v>24</v>
      </c>
      <c r="E4" s="17"/>
      <c r="F4" s="20" t="n">
        <v>1</v>
      </c>
      <c r="G4" s="20" t="s">
        <v>22</v>
      </c>
      <c r="H4" s="20" t="s">
        <v>23</v>
      </c>
      <c r="I4" s="17"/>
      <c r="J4" s="22"/>
      <c r="K4" s="22"/>
      <c r="L4" s="17"/>
      <c r="M4" s="17"/>
      <c r="N4" s="17"/>
      <c r="O4" s="17"/>
      <c r="P4" s="17"/>
      <c r="Q4" s="15"/>
      <c r="R4" s="15"/>
      <c r="S4" s="15"/>
      <c r="T4" s="16"/>
      <c r="U4" s="23"/>
    </row>
    <row r="5" s="18" customFormat="true" ht="14.65" hidden="false" customHeight="false" outlineLevel="0" collapsed="false">
      <c r="A5" s="8"/>
      <c r="B5" s="8"/>
      <c r="C5" s="10"/>
      <c r="D5" s="21" t="s">
        <v>25</v>
      </c>
      <c r="E5" s="17"/>
      <c r="F5" s="20" t="n">
        <v>1</v>
      </c>
      <c r="G5" s="20" t="s">
        <v>22</v>
      </c>
      <c r="H5" s="20" t="s">
        <v>23</v>
      </c>
      <c r="I5" s="17"/>
      <c r="J5" s="22"/>
      <c r="K5" s="22"/>
      <c r="L5" s="17"/>
      <c r="M5" s="17"/>
      <c r="N5" s="17"/>
      <c r="O5" s="17"/>
      <c r="P5" s="17"/>
      <c r="Q5" s="15"/>
      <c r="R5" s="15"/>
      <c r="S5" s="15"/>
      <c r="T5" s="16"/>
      <c r="U5" s="23"/>
    </row>
    <row r="6" s="25" customFormat="true" ht="14.65" hidden="false" customHeight="false" outlineLevel="0" collapsed="false">
      <c r="A6" s="24"/>
      <c r="B6" s="17"/>
      <c r="C6" s="17"/>
      <c r="D6" s="17" t="s">
        <v>26</v>
      </c>
      <c r="E6" s="17"/>
      <c r="F6" s="20" t="n">
        <v>1</v>
      </c>
      <c r="G6" s="20" t="s">
        <v>22</v>
      </c>
      <c r="H6" s="20" t="s">
        <v>27</v>
      </c>
      <c r="I6" s="17"/>
      <c r="J6" s="17"/>
      <c r="K6" s="17"/>
      <c r="L6" s="17"/>
      <c r="M6" s="17"/>
      <c r="N6" s="17"/>
      <c r="O6" s="17"/>
      <c r="P6" s="17"/>
      <c r="Q6" s="15"/>
      <c r="R6" s="15"/>
      <c r="S6" s="15"/>
      <c r="T6" s="16"/>
      <c r="U6" s="17"/>
    </row>
    <row r="7" s="25" customFormat="true" ht="14.65" hidden="false" customHeight="false" outlineLevel="0" collapsed="false">
      <c r="A7" s="24"/>
      <c r="B7" s="17"/>
      <c r="C7" s="17"/>
      <c r="D7" s="17" t="s">
        <v>28</v>
      </c>
      <c r="E7" s="17"/>
      <c r="F7" s="20" t="n">
        <v>3</v>
      </c>
      <c r="G7" s="20" t="s">
        <v>22</v>
      </c>
      <c r="H7" s="20" t="s">
        <v>27</v>
      </c>
      <c r="I7" s="17"/>
      <c r="J7" s="17"/>
      <c r="K7" s="17"/>
      <c r="L7" s="17"/>
      <c r="M7" s="17"/>
      <c r="N7" s="17"/>
      <c r="O7" s="17"/>
      <c r="P7" s="17"/>
      <c r="Q7" s="15"/>
      <c r="R7" s="15"/>
      <c r="S7" s="15"/>
      <c r="T7" s="16"/>
      <c r="U7" s="17"/>
    </row>
    <row r="8" customFormat="false" ht="14.65" hidden="false" customHeight="false" outlineLevel="0" collapsed="false">
      <c r="A8" s="4" t="s">
        <v>0</v>
      </c>
      <c r="B8" s="4" t="s">
        <v>1</v>
      </c>
      <c r="C8" s="4" t="s">
        <v>2</v>
      </c>
      <c r="D8" s="5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6" t="s">
        <v>16</v>
      </c>
      <c r="R8" s="6" t="s">
        <v>17</v>
      </c>
      <c r="S8" s="6" t="s">
        <v>18</v>
      </c>
      <c r="T8" s="5" t="s">
        <v>19</v>
      </c>
      <c r="U8" s="26"/>
    </row>
    <row r="9" s="18" customFormat="true" ht="14.65" hidden="false" customHeight="false" outlineLevel="0" collapsed="false">
      <c r="A9" s="8"/>
      <c r="B9" s="9"/>
      <c r="C9" s="10"/>
      <c r="D9" s="11" t="s">
        <v>24</v>
      </c>
      <c r="E9" s="14"/>
      <c r="F9" s="13"/>
      <c r="G9" s="13"/>
      <c r="H9" s="13"/>
      <c r="I9" s="27"/>
      <c r="J9" s="27"/>
      <c r="K9" s="27"/>
      <c r="L9" s="27"/>
      <c r="M9" s="14"/>
      <c r="N9" s="14"/>
      <c r="O9" s="14"/>
      <c r="P9" s="14"/>
      <c r="Q9" s="15"/>
      <c r="R9" s="15"/>
      <c r="S9" s="15"/>
      <c r="T9" s="16"/>
      <c r="U9" s="17"/>
    </row>
    <row r="10" s="25" customFormat="true" ht="14.65" hidden="false" customHeight="false" outlineLevel="0" collapsed="false">
      <c r="A10" s="24"/>
      <c r="B10" s="17"/>
      <c r="C10" s="17"/>
      <c r="D10" s="28" t="s">
        <v>29</v>
      </c>
      <c r="E10" s="17"/>
      <c r="F10" s="20" t="n">
        <v>1</v>
      </c>
      <c r="G10" s="20" t="s">
        <v>22</v>
      </c>
      <c r="H10" s="20" t="s">
        <v>27</v>
      </c>
      <c r="I10" s="17" t="s">
        <v>30</v>
      </c>
      <c r="J10" s="17" t="s">
        <v>31</v>
      </c>
      <c r="K10" s="17" t="s">
        <v>32</v>
      </c>
      <c r="L10" s="17" t="s">
        <v>33</v>
      </c>
      <c r="M10" s="17"/>
      <c r="N10" s="17"/>
      <c r="O10" s="17"/>
      <c r="P10" s="17"/>
      <c r="Q10" s="15" t="n">
        <v>3.03</v>
      </c>
      <c r="R10" s="15" t="n">
        <f aca="false">(F10*Q10)</f>
        <v>3.03</v>
      </c>
      <c r="S10" s="15" t="n">
        <v>2.2792</v>
      </c>
      <c r="T10" s="16" t="n">
        <f aca="false">(F10*S10)</f>
        <v>2.2792</v>
      </c>
      <c r="U10" s="17"/>
    </row>
    <row r="11" s="25" customFormat="true" ht="14.65" hidden="false" customHeight="false" outlineLevel="0" collapsed="false">
      <c r="A11" s="24"/>
      <c r="B11" s="17"/>
      <c r="C11" s="17"/>
      <c r="D11" s="28" t="s">
        <v>34</v>
      </c>
      <c r="E11" s="17"/>
      <c r="F11" s="20" t="n">
        <v>1</v>
      </c>
      <c r="G11" s="20" t="s">
        <v>22</v>
      </c>
      <c r="H11" s="20" t="s">
        <v>27</v>
      </c>
      <c r="I11" s="17" t="s">
        <v>30</v>
      </c>
      <c r="J11" s="17" t="s">
        <v>35</v>
      </c>
      <c r="K11" s="17" t="s">
        <v>32</v>
      </c>
      <c r="L11" s="17" t="s">
        <v>36</v>
      </c>
      <c r="M11" s="17"/>
      <c r="N11" s="17"/>
      <c r="O11" s="17"/>
      <c r="P11" s="17"/>
      <c r="Q11" s="15" t="n">
        <v>1.68</v>
      </c>
      <c r="R11" s="15" t="n">
        <f aca="false">(F11*Q11)</f>
        <v>1.68</v>
      </c>
      <c r="S11" s="15" t="n">
        <v>1.371</v>
      </c>
      <c r="T11" s="16" t="n">
        <f aca="false">(F11*S11)</f>
        <v>1.371</v>
      </c>
      <c r="U11" s="17"/>
    </row>
    <row r="12" customFormat="false" ht="14.65" hidden="false" customHeight="false" outlineLevel="0" collapsed="false">
      <c r="A12" s="8"/>
      <c r="B12" s="8"/>
      <c r="C12" s="10"/>
      <c r="D12" s="22" t="s">
        <v>37</v>
      </c>
      <c r="E12" s="17" t="s">
        <v>38</v>
      </c>
      <c r="F12" s="20" t="n">
        <v>1</v>
      </c>
      <c r="G12" s="20" t="s">
        <v>22</v>
      </c>
      <c r="H12" s="20" t="s">
        <v>27</v>
      </c>
      <c r="I12" s="22" t="s">
        <v>39</v>
      </c>
      <c r="J12" s="29" t="s">
        <v>40</v>
      </c>
      <c r="K12" s="22" t="s">
        <v>32</v>
      </c>
      <c r="L12" s="30" t="s">
        <v>41</v>
      </c>
      <c r="M12" s="17"/>
      <c r="N12" s="17"/>
      <c r="O12" s="17"/>
      <c r="P12" s="17"/>
      <c r="Q12" s="16" t="n">
        <v>2.35</v>
      </c>
      <c r="R12" s="15" t="n">
        <f aca="false">(F12*Q12)</f>
        <v>2.35</v>
      </c>
      <c r="S12" s="16" t="n">
        <v>2.034</v>
      </c>
      <c r="T12" s="16" t="n">
        <f aca="false">(F12*S12)</f>
        <v>2.034</v>
      </c>
      <c r="U12" s="23" t="s">
        <v>42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</row>
    <row r="13" s="18" customFormat="true" ht="14.65" hidden="false" customHeight="false" outlineLevel="0" collapsed="false">
      <c r="A13" s="8"/>
      <c r="B13" s="8"/>
      <c r="C13" s="17" t="s">
        <v>43</v>
      </c>
      <c r="D13" s="22" t="s">
        <v>44</v>
      </c>
      <c r="E13" s="17"/>
      <c r="F13" s="20" t="n">
        <v>1</v>
      </c>
      <c r="G13" s="20" t="s">
        <v>22</v>
      </c>
      <c r="H13" s="20" t="s">
        <v>23</v>
      </c>
      <c r="I13" s="22"/>
      <c r="J13" s="29"/>
      <c r="K13" s="22"/>
      <c r="L13" s="30"/>
      <c r="M13" s="17"/>
      <c r="N13" s="17"/>
      <c r="O13" s="17"/>
      <c r="P13" s="17"/>
      <c r="Q13" s="31" t="n">
        <v>0.15</v>
      </c>
      <c r="R13" s="15" t="n">
        <f aca="false">(F13*Q13)</f>
        <v>0.15</v>
      </c>
      <c r="S13" s="31" t="n">
        <v>0.15</v>
      </c>
      <c r="T13" s="16" t="n">
        <f aca="false">(F13*S13)</f>
        <v>0.15</v>
      </c>
      <c r="U13" s="23"/>
    </row>
    <row r="14" s="18" customFormat="true" ht="14.65" hidden="false" customHeight="false" outlineLevel="0" collapsed="false">
      <c r="A14" s="8"/>
      <c r="B14" s="8"/>
      <c r="C14" s="10"/>
      <c r="D14" s="22" t="s">
        <v>45</v>
      </c>
      <c r="E14" s="17"/>
      <c r="F14" s="20" t="n">
        <v>1.5</v>
      </c>
      <c r="G14" s="20" t="s">
        <v>46</v>
      </c>
      <c r="H14" s="20" t="s">
        <v>27</v>
      </c>
      <c r="I14" s="22" t="s">
        <v>47</v>
      </c>
      <c r="J14" s="29" t="s">
        <v>48</v>
      </c>
      <c r="K14" s="22" t="s">
        <v>49</v>
      </c>
      <c r="L14" s="30" t="s">
        <v>50</v>
      </c>
      <c r="M14" s="17"/>
      <c r="N14" s="17"/>
      <c r="O14" s="17"/>
      <c r="P14" s="17"/>
      <c r="Q14" s="15" t="n">
        <v>4.87</v>
      </c>
      <c r="R14" s="15" t="n">
        <f aca="false">(F14*Q14)</f>
        <v>7.305</v>
      </c>
      <c r="S14" s="15" t="n">
        <v>2.416</v>
      </c>
      <c r="T14" s="16" t="n">
        <f aca="false">(F14*S14)</f>
        <v>3.624</v>
      </c>
      <c r="U14" s="23"/>
    </row>
    <row r="15" s="18" customFormat="true" ht="14.65" hidden="false" customHeight="false" outlineLevel="0" collapsed="false">
      <c r="A15" s="8"/>
      <c r="B15" s="8"/>
      <c r="C15" s="10"/>
      <c r="D15" s="22" t="s">
        <v>51</v>
      </c>
      <c r="E15" s="17"/>
      <c r="F15" s="20" t="n">
        <v>1</v>
      </c>
      <c r="G15" s="20" t="s">
        <v>22</v>
      </c>
      <c r="H15" s="20" t="s">
        <v>27</v>
      </c>
      <c r="I15" s="22" t="s">
        <v>52</v>
      </c>
      <c r="J15" s="17" t="s">
        <v>53</v>
      </c>
      <c r="K15" s="22" t="s">
        <v>32</v>
      </c>
      <c r="L15" s="30" t="s">
        <v>54</v>
      </c>
      <c r="M15" s="17"/>
      <c r="N15" s="17"/>
      <c r="O15" s="17"/>
      <c r="P15" s="17"/>
      <c r="Q15" s="15" t="n">
        <v>1.78</v>
      </c>
      <c r="R15" s="15" t="n">
        <f aca="false">(F15*Q15)</f>
        <v>1.78</v>
      </c>
      <c r="S15" s="15" t="n">
        <v>1.513</v>
      </c>
      <c r="T15" s="16" t="n">
        <f aca="false">(F15*S15)</f>
        <v>1.513</v>
      </c>
      <c r="U15" s="23"/>
    </row>
    <row r="16" s="18" customFormat="true" ht="14.65" hidden="false" customHeight="false" outlineLevel="0" collapsed="false">
      <c r="A16" s="8"/>
      <c r="B16" s="8"/>
      <c r="C16" s="10"/>
      <c r="D16" s="22" t="s">
        <v>55</v>
      </c>
      <c r="E16" s="17"/>
      <c r="F16" s="20" t="n">
        <v>13</v>
      </c>
      <c r="G16" s="20" t="s">
        <v>22</v>
      </c>
      <c r="H16" s="20" t="s">
        <v>27</v>
      </c>
      <c r="I16" s="22" t="s">
        <v>56</v>
      </c>
      <c r="J16" s="29" t="s">
        <v>57</v>
      </c>
      <c r="K16" s="22"/>
      <c r="L16" s="30"/>
      <c r="M16" s="17"/>
      <c r="N16" s="17"/>
      <c r="O16" s="17"/>
      <c r="P16" s="17"/>
      <c r="Q16" s="15" t="n">
        <v>0.0874</v>
      </c>
      <c r="R16" s="15" t="n">
        <f aca="false">(F16*Q16)</f>
        <v>1.1362</v>
      </c>
      <c r="S16" s="15" t="n">
        <v>0.0874</v>
      </c>
      <c r="T16" s="16" t="n">
        <f aca="false">(F16*S16)</f>
        <v>1.1362</v>
      </c>
      <c r="U16" s="23" t="s">
        <v>58</v>
      </c>
    </row>
    <row r="17" s="18" customFormat="true" ht="14.65" hidden="false" customHeight="false" outlineLevel="0" collapsed="false">
      <c r="A17" s="8"/>
      <c r="B17" s="8"/>
      <c r="C17" s="10"/>
      <c r="D17" s="22" t="s">
        <v>59</v>
      </c>
      <c r="E17" s="17"/>
      <c r="F17" s="20" t="n">
        <v>5</v>
      </c>
      <c r="G17" s="20" t="s">
        <v>22</v>
      </c>
      <c r="H17" s="20" t="s">
        <v>27</v>
      </c>
      <c r="I17" s="22" t="s">
        <v>60</v>
      </c>
      <c r="J17" s="17" t="s">
        <v>61</v>
      </c>
      <c r="K17" s="22" t="s">
        <v>32</v>
      </c>
      <c r="L17" s="30" t="s">
        <v>62</v>
      </c>
      <c r="M17" s="17"/>
      <c r="N17" s="17"/>
      <c r="O17" s="17"/>
      <c r="P17" s="17"/>
      <c r="Q17" s="15" t="n">
        <v>0.39</v>
      </c>
      <c r="R17" s="15" t="n">
        <f aca="false">(F17*Q17)</f>
        <v>1.95</v>
      </c>
      <c r="S17" s="15" t="n">
        <v>0.3132</v>
      </c>
      <c r="T17" s="16" t="n">
        <f aca="false">(F17*S17)</f>
        <v>1.566</v>
      </c>
      <c r="U17" s="23"/>
    </row>
    <row r="18" s="18" customFormat="true" ht="14.65" hidden="false" customHeight="false" outlineLevel="0" collapsed="false">
      <c r="A18" s="8"/>
      <c r="B18" s="8"/>
      <c r="C18" s="10"/>
      <c r="D18" s="22" t="s">
        <v>63</v>
      </c>
      <c r="E18" s="17"/>
      <c r="F18" s="20"/>
      <c r="G18" s="20"/>
      <c r="H18" s="20"/>
      <c r="I18" s="22"/>
      <c r="J18" s="17"/>
      <c r="K18" s="22"/>
      <c r="L18" s="30"/>
      <c r="M18" s="17"/>
      <c r="N18" s="17"/>
      <c r="O18" s="17"/>
      <c r="P18" s="17"/>
      <c r="Q18" s="15"/>
      <c r="R18" s="15"/>
      <c r="S18" s="15"/>
      <c r="T18" s="16"/>
      <c r="U18" s="23"/>
    </row>
    <row r="19" s="18" customFormat="true" ht="14.65" hidden="false" customHeight="false" outlineLevel="0" collapsed="false">
      <c r="A19" s="8"/>
      <c r="B19" s="8"/>
      <c r="C19" s="10"/>
      <c r="D19" s="22" t="s">
        <v>64</v>
      </c>
      <c r="E19" s="17" t="s">
        <v>65</v>
      </c>
      <c r="F19" s="20" t="n">
        <v>13</v>
      </c>
      <c r="G19" s="20" t="s">
        <v>22</v>
      </c>
      <c r="H19" s="20" t="s">
        <v>27</v>
      </c>
      <c r="I19" s="22" t="s">
        <v>66</v>
      </c>
      <c r="J19" s="29" t="s">
        <v>67</v>
      </c>
      <c r="K19" s="22" t="s">
        <v>66</v>
      </c>
      <c r="L19" s="30"/>
      <c r="M19" s="17" t="s">
        <v>56</v>
      </c>
      <c r="N19" s="17" t="s">
        <v>68</v>
      </c>
      <c r="O19" s="17"/>
      <c r="P19" s="17"/>
      <c r="Q19" s="15" t="n">
        <v>0.21</v>
      </c>
      <c r="R19" s="15" t="n">
        <f aca="false">(F19*Q19)</f>
        <v>2.73</v>
      </c>
      <c r="S19" s="15" t="n">
        <v>0.121</v>
      </c>
      <c r="T19" s="16" t="n">
        <f aca="false">(F19*S19)</f>
        <v>1.573</v>
      </c>
      <c r="U19" s="23"/>
    </row>
    <row r="20" s="18" customFormat="true" ht="14.65" hidden="false" customHeight="false" outlineLevel="0" collapsed="false">
      <c r="A20" s="8"/>
      <c r="B20" s="8"/>
      <c r="C20" s="17" t="s">
        <v>43</v>
      </c>
      <c r="D20" s="22" t="s">
        <v>69</v>
      </c>
      <c r="E20" s="17"/>
      <c r="F20" s="20" t="n">
        <v>26</v>
      </c>
      <c r="G20" s="20" t="s">
        <v>70</v>
      </c>
      <c r="H20" s="20" t="s">
        <v>23</v>
      </c>
      <c r="I20" s="22" t="s">
        <v>71</v>
      </c>
      <c r="J20" s="17" t="s">
        <v>72</v>
      </c>
      <c r="K20" s="22"/>
      <c r="L20" s="30"/>
      <c r="M20" s="17"/>
      <c r="N20" s="17"/>
      <c r="O20" s="17"/>
      <c r="P20" s="17"/>
      <c r="Q20" s="15" t="n">
        <v>0.0399</v>
      </c>
      <c r="R20" s="15" t="n">
        <f aca="false">(F20*Q20)</f>
        <v>1.0374</v>
      </c>
      <c r="S20" s="15" t="n">
        <v>0.0399</v>
      </c>
      <c r="T20" s="16" t="n">
        <f aca="false">(F20*S20)</f>
        <v>1.0374</v>
      </c>
      <c r="U20" s="23" t="s">
        <v>73</v>
      </c>
    </row>
    <row r="21" s="18" customFormat="true" ht="14.65" hidden="false" customHeight="false" outlineLevel="0" collapsed="false">
      <c r="A21" s="8"/>
      <c r="B21" s="8"/>
      <c r="C21" s="17" t="s">
        <v>43</v>
      </c>
      <c r="D21" s="22" t="s">
        <v>74</v>
      </c>
      <c r="E21" s="17"/>
      <c r="F21" s="20" t="n">
        <v>57</v>
      </c>
      <c r="G21" s="20" t="s">
        <v>70</v>
      </c>
      <c r="H21" s="20" t="s">
        <v>23</v>
      </c>
      <c r="I21" s="22" t="s">
        <v>71</v>
      </c>
      <c r="J21" s="17" t="s">
        <v>72</v>
      </c>
      <c r="K21" s="22"/>
      <c r="L21" s="30"/>
      <c r="M21" s="17"/>
      <c r="N21" s="17"/>
      <c r="O21" s="17"/>
      <c r="P21" s="17"/>
      <c r="Q21" s="15" t="n">
        <v>0.0399</v>
      </c>
      <c r="R21" s="15" t="n">
        <f aca="false">(F21*Q21)</f>
        <v>2.2743</v>
      </c>
      <c r="S21" s="15" t="n">
        <v>0.0399</v>
      </c>
      <c r="T21" s="16" t="n">
        <f aca="false">(F21*S21)</f>
        <v>2.2743</v>
      </c>
      <c r="U21" s="23" t="s">
        <v>73</v>
      </c>
    </row>
    <row r="22" s="18" customFormat="true" ht="14.65" hidden="false" customHeight="false" outlineLevel="0" collapsed="false">
      <c r="A22" s="8"/>
      <c r="B22" s="8"/>
      <c r="C22" s="17" t="s">
        <v>43</v>
      </c>
      <c r="D22" s="22" t="s">
        <v>75</v>
      </c>
      <c r="E22" s="17"/>
      <c r="F22" s="20" t="n">
        <v>58</v>
      </c>
      <c r="G22" s="20" t="s">
        <v>70</v>
      </c>
      <c r="H22" s="20" t="s">
        <v>23</v>
      </c>
      <c r="I22" s="22" t="s">
        <v>71</v>
      </c>
      <c r="J22" s="17" t="s">
        <v>72</v>
      </c>
      <c r="K22" s="22"/>
      <c r="L22" s="30"/>
      <c r="M22" s="17"/>
      <c r="N22" s="17"/>
      <c r="O22" s="17"/>
      <c r="P22" s="17"/>
      <c r="Q22" s="15" t="n">
        <v>0.0399</v>
      </c>
      <c r="R22" s="15" t="n">
        <f aca="false">(F22*Q22)</f>
        <v>2.3142</v>
      </c>
      <c r="S22" s="15" t="n">
        <v>0.0399</v>
      </c>
      <c r="T22" s="16" t="n">
        <f aca="false">(F22*S22)</f>
        <v>2.3142</v>
      </c>
      <c r="U22" s="23" t="s">
        <v>73</v>
      </c>
    </row>
    <row r="23" s="18" customFormat="true" ht="14.65" hidden="false" customHeight="false" outlineLevel="0" collapsed="false">
      <c r="A23" s="8"/>
      <c r="B23" s="8"/>
      <c r="C23" s="10"/>
      <c r="D23" s="22"/>
      <c r="E23" s="17"/>
      <c r="F23" s="20"/>
      <c r="G23" s="20"/>
      <c r="H23" s="20"/>
      <c r="I23" s="22"/>
      <c r="J23" s="29"/>
      <c r="K23" s="22"/>
      <c r="L23" s="30"/>
      <c r="M23" s="17"/>
      <c r="N23" s="17"/>
      <c r="O23" s="17"/>
      <c r="P23" s="17"/>
      <c r="Q23" s="15"/>
      <c r="R23" s="15"/>
      <c r="S23" s="15"/>
      <c r="T23" s="16"/>
      <c r="U23" s="23"/>
    </row>
    <row r="24" customFormat="false" ht="14.65" hidden="false" customHeight="false" outlineLevel="0" collapsed="false">
      <c r="A24" s="4" t="s">
        <v>0</v>
      </c>
      <c r="B24" s="4" t="s">
        <v>1</v>
      </c>
      <c r="C24" s="4" t="s">
        <v>2</v>
      </c>
      <c r="D24" s="5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5" t="s">
        <v>8</v>
      </c>
      <c r="J24" s="5" t="s">
        <v>9</v>
      </c>
      <c r="K24" s="5" t="s">
        <v>10</v>
      </c>
      <c r="L24" s="5" t="s">
        <v>11</v>
      </c>
      <c r="M24" s="5" t="s">
        <v>12</v>
      </c>
      <c r="N24" s="5" t="s">
        <v>13</v>
      </c>
      <c r="O24" s="5" t="s">
        <v>14</v>
      </c>
      <c r="P24" s="5" t="s">
        <v>15</v>
      </c>
      <c r="Q24" s="6" t="s">
        <v>16</v>
      </c>
      <c r="R24" s="6" t="s">
        <v>17</v>
      </c>
      <c r="S24" s="6" t="s">
        <v>18</v>
      </c>
      <c r="T24" s="5" t="s">
        <v>19</v>
      </c>
      <c r="U24" s="26"/>
    </row>
    <row r="25" s="18" customFormat="true" ht="14.65" hidden="false" customHeight="false" outlineLevel="0" collapsed="false">
      <c r="A25" s="8"/>
      <c r="B25" s="9"/>
      <c r="C25" s="10"/>
      <c r="D25" s="11" t="s">
        <v>25</v>
      </c>
      <c r="E25" s="14"/>
      <c r="F25" s="13"/>
      <c r="G25" s="13"/>
      <c r="H25" s="13"/>
      <c r="I25" s="27"/>
      <c r="J25" s="27"/>
      <c r="K25" s="27"/>
      <c r="L25" s="27"/>
      <c r="M25" s="14"/>
      <c r="N25" s="14"/>
      <c r="O25" s="14"/>
      <c r="P25" s="14"/>
      <c r="Q25" s="15"/>
      <c r="R25" s="15"/>
      <c r="S25" s="15"/>
      <c r="T25" s="16"/>
      <c r="U25" s="17"/>
    </row>
    <row r="26" s="18" customFormat="true" ht="14.65" hidden="false" customHeight="false" outlineLevel="0" collapsed="false">
      <c r="A26" s="8"/>
      <c r="B26" s="8"/>
      <c r="C26" s="10"/>
      <c r="D26" s="22" t="s">
        <v>76</v>
      </c>
      <c r="E26" s="17" t="s">
        <v>77</v>
      </c>
      <c r="F26" s="20" t="n">
        <v>1</v>
      </c>
      <c r="G26" s="20" t="s">
        <v>22</v>
      </c>
      <c r="H26" s="20" t="s">
        <v>27</v>
      </c>
      <c r="I26" s="22" t="s">
        <v>78</v>
      </c>
      <c r="J26" s="29" t="s">
        <v>79</v>
      </c>
      <c r="K26" s="22" t="s">
        <v>32</v>
      </c>
      <c r="L26" s="30" t="s">
        <v>80</v>
      </c>
      <c r="M26" s="17" t="s">
        <v>81</v>
      </c>
      <c r="N26" s="17" t="s">
        <v>82</v>
      </c>
      <c r="O26" s="17"/>
      <c r="P26" s="17"/>
      <c r="Q26" s="15" t="n">
        <v>0.68</v>
      </c>
      <c r="R26" s="15" t="n">
        <f aca="false">(F26*Q26)</f>
        <v>0.68</v>
      </c>
      <c r="S26" s="15" t="n">
        <v>0.402</v>
      </c>
      <c r="T26" s="16" t="n">
        <f aca="false">(F26*S26)</f>
        <v>0.402</v>
      </c>
      <c r="U26" s="23"/>
    </row>
    <row r="27" s="18" customFormat="true" ht="14.65" hidden="false" customHeight="false" outlineLevel="0" collapsed="false">
      <c r="A27" s="8"/>
      <c r="B27" s="8"/>
      <c r="C27" s="10"/>
      <c r="D27" s="22" t="s">
        <v>83</v>
      </c>
      <c r="E27" s="17" t="s">
        <v>84</v>
      </c>
      <c r="F27" s="20" t="n">
        <v>1</v>
      </c>
      <c r="G27" s="20" t="s">
        <v>22</v>
      </c>
      <c r="H27" s="20" t="s">
        <v>27</v>
      </c>
      <c r="I27" s="22" t="s">
        <v>78</v>
      </c>
      <c r="J27" s="29" t="s">
        <v>85</v>
      </c>
      <c r="K27" s="22" t="s">
        <v>32</v>
      </c>
      <c r="L27" s="30" t="s">
        <v>86</v>
      </c>
      <c r="M27" s="17"/>
      <c r="N27" s="17"/>
      <c r="O27" s="17"/>
      <c r="P27" s="17"/>
      <c r="Q27" s="15" t="n">
        <v>0.33</v>
      </c>
      <c r="R27" s="15" t="n">
        <f aca="false">(F27*Q27)</f>
        <v>0.33</v>
      </c>
      <c r="S27" s="15" t="n">
        <v>0.177</v>
      </c>
      <c r="T27" s="16" t="n">
        <f aca="false">(F27*S27)</f>
        <v>0.177</v>
      </c>
      <c r="U27" s="23"/>
    </row>
    <row r="28" s="18" customFormat="true" ht="14.65" hidden="false" customHeight="false" outlineLevel="0" collapsed="false">
      <c r="A28" s="8"/>
      <c r="B28" s="8"/>
      <c r="C28" s="10"/>
      <c r="D28" s="22" t="s">
        <v>87</v>
      </c>
      <c r="E28" s="17"/>
      <c r="F28" s="20"/>
      <c r="G28" s="20"/>
      <c r="H28" s="20"/>
      <c r="I28" s="22"/>
      <c r="J28" s="29"/>
      <c r="K28" s="22"/>
      <c r="L28" s="30"/>
      <c r="M28" s="17"/>
      <c r="N28" s="17"/>
      <c r="O28" s="17"/>
      <c r="P28" s="17"/>
      <c r="Q28" s="15"/>
      <c r="R28" s="15"/>
      <c r="S28" s="15"/>
      <c r="T28" s="16"/>
      <c r="U28" s="23"/>
    </row>
    <row r="29" s="18" customFormat="true" ht="14.65" hidden="false" customHeight="false" outlineLevel="0" collapsed="false">
      <c r="A29" s="8"/>
      <c r="B29" s="8"/>
      <c r="C29" s="10"/>
      <c r="D29" s="22" t="s">
        <v>88</v>
      </c>
      <c r="E29" s="17"/>
      <c r="F29" s="20" t="n">
        <v>1</v>
      </c>
      <c r="G29" s="20" t="s">
        <v>22</v>
      </c>
      <c r="H29" s="20" t="s">
        <v>27</v>
      </c>
      <c r="I29" s="22" t="s">
        <v>89</v>
      </c>
      <c r="J29" s="29" t="s">
        <v>90</v>
      </c>
      <c r="K29" s="22" t="s">
        <v>32</v>
      </c>
      <c r="L29" s="30" t="s">
        <v>91</v>
      </c>
      <c r="M29" s="17"/>
      <c r="N29" s="17"/>
      <c r="O29" s="17"/>
      <c r="P29" s="17"/>
      <c r="Q29" s="15" t="n">
        <v>1.51</v>
      </c>
      <c r="R29" s="15" t="n">
        <f aca="false">(F29*Q29)</f>
        <v>1.51</v>
      </c>
      <c r="S29" s="15" t="n">
        <v>1.184</v>
      </c>
      <c r="T29" s="16" t="n">
        <f aca="false">(F29*S29)</f>
        <v>1.184</v>
      </c>
      <c r="U29" s="23"/>
    </row>
    <row r="30" s="18" customFormat="true" ht="14.65" hidden="false" customHeight="false" outlineLevel="0" collapsed="false">
      <c r="A30" s="8"/>
      <c r="B30" s="8"/>
      <c r="C30" s="10"/>
      <c r="D30" s="22" t="s">
        <v>92</v>
      </c>
      <c r="E30" s="17"/>
      <c r="F30" s="20" t="n">
        <v>2</v>
      </c>
      <c r="G30" s="20" t="s">
        <v>22</v>
      </c>
      <c r="H30" s="20" t="s">
        <v>27</v>
      </c>
      <c r="I30" s="22" t="s">
        <v>93</v>
      </c>
      <c r="J30" s="29" t="s">
        <v>94</v>
      </c>
      <c r="K30" s="22" t="s">
        <v>32</v>
      </c>
      <c r="L30" s="30" t="s">
        <v>95</v>
      </c>
      <c r="M30" s="17"/>
      <c r="N30" s="17"/>
      <c r="O30" s="17"/>
      <c r="P30" s="17"/>
      <c r="Q30" s="15" t="n">
        <v>2.23</v>
      </c>
      <c r="R30" s="15" t="n">
        <f aca="false">(F30*Q30)</f>
        <v>4.46</v>
      </c>
      <c r="S30" s="15" t="n">
        <v>2.091</v>
      </c>
      <c r="T30" s="16" t="n">
        <f aca="false">(F30*S30)</f>
        <v>4.182</v>
      </c>
      <c r="U30" s="23"/>
    </row>
    <row r="31" s="18" customFormat="true" ht="14.65" hidden="false" customHeight="false" outlineLevel="0" collapsed="false">
      <c r="A31" s="8"/>
      <c r="B31" s="8"/>
      <c r="C31" s="10"/>
      <c r="D31" s="22" t="s">
        <v>96</v>
      </c>
      <c r="E31" s="17"/>
      <c r="F31" s="20" t="n">
        <v>1</v>
      </c>
      <c r="G31" s="20" t="s">
        <v>22</v>
      </c>
      <c r="H31" s="20" t="s">
        <v>27</v>
      </c>
      <c r="I31" s="22" t="s">
        <v>97</v>
      </c>
      <c r="J31" s="29" t="s">
        <v>98</v>
      </c>
      <c r="K31" s="22" t="s">
        <v>32</v>
      </c>
      <c r="L31" s="30" t="s">
        <v>99</v>
      </c>
      <c r="M31" s="17"/>
      <c r="N31" s="17"/>
      <c r="O31" s="17"/>
      <c r="P31" s="17"/>
      <c r="Q31" s="15" t="n">
        <v>2.43</v>
      </c>
      <c r="R31" s="15" t="n">
        <f aca="false">(F31*Q31)</f>
        <v>2.43</v>
      </c>
      <c r="S31" s="15" t="n">
        <v>2.068</v>
      </c>
      <c r="T31" s="16" t="n">
        <f aca="false">(F31*S31)</f>
        <v>2.068</v>
      </c>
      <c r="U31" s="23"/>
    </row>
    <row r="32" s="18" customFormat="true" ht="14.65" hidden="false" customHeight="false" outlineLevel="0" collapsed="false">
      <c r="A32" s="8"/>
      <c r="B32" s="8"/>
      <c r="C32" s="10"/>
      <c r="D32" s="22" t="s">
        <v>100</v>
      </c>
      <c r="E32" s="17"/>
      <c r="F32" s="20" t="n">
        <v>1</v>
      </c>
      <c r="G32" s="20" t="s">
        <v>22</v>
      </c>
      <c r="H32" s="20" t="s">
        <v>27</v>
      </c>
      <c r="I32" s="22" t="s">
        <v>101</v>
      </c>
      <c r="J32" s="29" t="s">
        <v>53</v>
      </c>
      <c r="K32" s="22" t="s">
        <v>32</v>
      </c>
      <c r="L32" s="30" t="s">
        <v>54</v>
      </c>
      <c r="M32" s="17"/>
      <c r="N32" s="17"/>
      <c r="O32" s="17"/>
      <c r="P32" s="17"/>
      <c r="Q32" s="15" t="n">
        <v>1.78</v>
      </c>
      <c r="R32" s="15" t="n">
        <f aca="false">(F32*Q32)</f>
        <v>1.78</v>
      </c>
      <c r="S32" s="15" t="n">
        <v>1.513</v>
      </c>
      <c r="T32" s="16" t="n">
        <f aca="false">(F32*S32)</f>
        <v>1.513</v>
      </c>
      <c r="U32" s="23"/>
    </row>
    <row r="33" s="18" customFormat="true" ht="14.65" hidden="false" customHeight="false" outlineLevel="0" collapsed="false">
      <c r="A33" s="8"/>
      <c r="B33" s="8"/>
      <c r="C33" s="10"/>
      <c r="D33" s="22" t="s">
        <v>102</v>
      </c>
      <c r="E33" s="17" t="s">
        <v>103</v>
      </c>
      <c r="F33" s="20" t="n">
        <v>1</v>
      </c>
      <c r="G33" s="20" t="s">
        <v>22</v>
      </c>
      <c r="H33" s="20" t="s">
        <v>27</v>
      </c>
      <c r="I33" s="22" t="s">
        <v>104</v>
      </c>
      <c r="J33" s="29" t="s">
        <v>105</v>
      </c>
      <c r="K33" s="22" t="s">
        <v>32</v>
      </c>
      <c r="L33" s="30" t="s">
        <v>106</v>
      </c>
      <c r="M33" s="17" t="s">
        <v>107</v>
      </c>
      <c r="N33" s="17" t="s">
        <v>108</v>
      </c>
      <c r="O33" s="17"/>
      <c r="P33" s="17"/>
      <c r="Q33" s="16" t="n">
        <v>7.77</v>
      </c>
      <c r="R33" s="15" t="n">
        <f aca="false">(F33*Q33)</f>
        <v>7.77</v>
      </c>
      <c r="S33" s="16" t="n">
        <v>7.77</v>
      </c>
      <c r="T33" s="16" t="n">
        <f aca="false">(F33*S33)</f>
        <v>7.77</v>
      </c>
      <c r="U33" s="23" t="s">
        <v>109</v>
      </c>
    </row>
    <row r="34" s="18" customFormat="true" ht="14.65" hidden="false" customHeight="false" outlineLevel="0" collapsed="false">
      <c r="A34" s="8"/>
      <c r="B34" s="8"/>
      <c r="C34" s="10"/>
      <c r="D34" s="22" t="s">
        <v>64</v>
      </c>
      <c r="E34" s="17" t="s">
        <v>65</v>
      </c>
      <c r="F34" s="20" t="n">
        <v>7</v>
      </c>
      <c r="G34" s="20" t="s">
        <v>22</v>
      </c>
      <c r="H34" s="20" t="s">
        <v>27</v>
      </c>
      <c r="I34" s="22" t="s">
        <v>66</v>
      </c>
      <c r="J34" s="29" t="s">
        <v>67</v>
      </c>
      <c r="K34" s="22" t="s">
        <v>66</v>
      </c>
      <c r="L34" s="30"/>
      <c r="M34" s="17" t="s">
        <v>56</v>
      </c>
      <c r="N34" s="17" t="s">
        <v>68</v>
      </c>
      <c r="O34" s="17"/>
      <c r="P34" s="17"/>
      <c r="Q34" s="15" t="n">
        <v>0.21</v>
      </c>
      <c r="R34" s="15" t="n">
        <f aca="false">(F34*Q34)</f>
        <v>1.47</v>
      </c>
      <c r="S34" s="15" t="n">
        <v>0.121</v>
      </c>
      <c r="T34" s="16" t="n">
        <f aca="false">(F34*S34)</f>
        <v>0.847</v>
      </c>
      <c r="U34" s="23"/>
    </row>
    <row r="35" s="18" customFormat="true" ht="14.65" hidden="false" customHeight="false" outlineLevel="0" collapsed="false">
      <c r="A35" s="8"/>
      <c r="B35" s="8"/>
      <c r="C35" s="10"/>
      <c r="D35" s="22" t="s">
        <v>110</v>
      </c>
      <c r="E35" s="17" t="s">
        <v>111</v>
      </c>
      <c r="F35" s="20" t="n">
        <v>1</v>
      </c>
      <c r="G35" s="20" t="s">
        <v>22</v>
      </c>
      <c r="H35" s="20" t="s">
        <v>27</v>
      </c>
      <c r="I35" s="22" t="s">
        <v>56</v>
      </c>
      <c r="J35" s="29" t="s">
        <v>112</v>
      </c>
      <c r="K35" s="22"/>
      <c r="L35" s="30"/>
      <c r="M35" s="17"/>
      <c r="N35" s="17"/>
      <c r="O35" s="17"/>
      <c r="P35" s="17"/>
      <c r="Q35" s="15" t="n">
        <v>0.209</v>
      </c>
      <c r="R35" s="15" t="n">
        <f aca="false">(F35*Q35)</f>
        <v>0.209</v>
      </c>
      <c r="S35" s="15" t="n">
        <v>0.209</v>
      </c>
      <c r="T35" s="16" t="n">
        <f aca="false">(F35*S35)</f>
        <v>0.209</v>
      </c>
      <c r="U35" s="23"/>
    </row>
    <row r="36" s="18" customFormat="true" ht="14.65" hidden="false" customHeight="false" outlineLevel="0" collapsed="false">
      <c r="A36" s="8"/>
      <c r="B36" s="8"/>
      <c r="C36" s="10"/>
      <c r="D36" s="22" t="s">
        <v>55</v>
      </c>
      <c r="E36" s="17" t="s">
        <v>58</v>
      </c>
      <c r="F36" s="20" t="n">
        <v>7</v>
      </c>
      <c r="G36" s="20" t="s">
        <v>22</v>
      </c>
      <c r="H36" s="20" t="s">
        <v>27</v>
      </c>
      <c r="I36" s="22" t="s">
        <v>56</v>
      </c>
      <c r="J36" s="29" t="s">
        <v>57</v>
      </c>
      <c r="K36" s="22"/>
      <c r="L36" s="30"/>
      <c r="M36" s="17"/>
      <c r="N36" s="17"/>
      <c r="O36" s="17"/>
      <c r="P36" s="17"/>
      <c r="Q36" s="15" t="n">
        <v>0.0874</v>
      </c>
      <c r="R36" s="15" t="n">
        <f aca="false">(F36*Q36)</f>
        <v>0.6118</v>
      </c>
      <c r="S36" s="15" t="n">
        <v>0.0874</v>
      </c>
      <c r="T36" s="16" t="n">
        <f aca="false">(F36*S36)</f>
        <v>0.6118</v>
      </c>
      <c r="U36" s="23"/>
    </row>
    <row r="37" s="18" customFormat="true" ht="14.65" hidden="false" customHeight="false" outlineLevel="0" collapsed="false">
      <c r="A37" s="8"/>
      <c r="B37" s="8"/>
      <c r="C37" s="10"/>
      <c r="D37" s="22" t="s">
        <v>113</v>
      </c>
      <c r="E37" s="17"/>
      <c r="F37" s="20" t="n">
        <v>0.2</v>
      </c>
      <c r="G37" s="20" t="s">
        <v>114</v>
      </c>
      <c r="H37" s="20" t="s">
        <v>27</v>
      </c>
      <c r="I37" s="22" t="s">
        <v>56</v>
      </c>
      <c r="J37" s="29" t="s">
        <v>115</v>
      </c>
      <c r="K37" s="22"/>
      <c r="L37" s="30"/>
      <c r="M37" s="17"/>
      <c r="N37" s="17"/>
      <c r="O37" s="17"/>
      <c r="P37" s="17"/>
      <c r="Q37" s="15" t="n">
        <v>3.77</v>
      </c>
      <c r="R37" s="15" t="n">
        <f aca="false">(F37*Q37)</f>
        <v>0.754</v>
      </c>
      <c r="S37" s="15" t="n">
        <v>3.77</v>
      </c>
      <c r="T37" s="16" t="n">
        <f aca="false">(F37*S37)</f>
        <v>0.754</v>
      </c>
      <c r="U37" s="23"/>
    </row>
    <row r="38" s="18" customFormat="true" ht="14.65" hidden="false" customHeight="false" outlineLevel="0" collapsed="false">
      <c r="A38" s="8"/>
      <c r="B38" s="8"/>
      <c r="C38" s="10"/>
      <c r="D38" s="22" t="s">
        <v>116</v>
      </c>
      <c r="E38" s="17" t="s">
        <v>117</v>
      </c>
      <c r="F38" s="20" t="n">
        <v>3</v>
      </c>
      <c r="G38" s="20" t="s">
        <v>22</v>
      </c>
      <c r="H38" s="20" t="s">
        <v>27</v>
      </c>
      <c r="I38" s="22" t="s">
        <v>118</v>
      </c>
      <c r="J38" s="29" t="s">
        <v>119</v>
      </c>
      <c r="K38" s="22" t="s">
        <v>32</v>
      </c>
      <c r="L38" s="30" t="s">
        <v>120</v>
      </c>
      <c r="M38" s="17"/>
      <c r="N38" s="17"/>
      <c r="O38" s="17"/>
      <c r="P38" s="17"/>
      <c r="Q38" s="15" t="n">
        <v>0.19</v>
      </c>
      <c r="R38" s="15" t="n">
        <f aca="false">(F38*Q38)</f>
        <v>0.57</v>
      </c>
      <c r="S38" s="15" t="n">
        <v>0.154</v>
      </c>
      <c r="T38" s="16" t="n">
        <f aca="false">(F38*S38)</f>
        <v>0.462</v>
      </c>
      <c r="U38" s="23"/>
    </row>
    <row r="39" s="18" customFormat="true" ht="14.65" hidden="false" customHeight="false" outlineLevel="0" collapsed="false">
      <c r="A39" s="8"/>
      <c r="B39" s="8"/>
      <c r="C39" s="10"/>
      <c r="D39" s="22" t="s">
        <v>121</v>
      </c>
      <c r="E39" s="17" t="s">
        <v>122</v>
      </c>
      <c r="F39" s="20" t="n">
        <v>3</v>
      </c>
      <c r="G39" s="20" t="s">
        <v>22</v>
      </c>
      <c r="H39" s="20" t="s">
        <v>27</v>
      </c>
      <c r="I39" s="22" t="s">
        <v>118</v>
      </c>
      <c r="J39" s="22" t="s">
        <v>123</v>
      </c>
      <c r="K39" s="22" t="s">
        <v>32</v>
      </c>
      <c r="L39" s="30" t="s">
        <v>124</v>
      </c>
      <c r="M39" s="17"/>
      <c r="N39" s="17"/>
      <c r="O39" s="17"/>
      <c r="P39" s="17"/>
      <c r="Q39" s="15" t="n">
        <v>0.25</v>
      </c>
      <c r="R39" s="15" t="n">
        <f aca="false">(F39*Q39)</f>
        <v>0.75</v>
      </c>
      <c r="S39" s="15" t="n">
        <v>0.205</v>
      </c>
      <c r="T39" s="16" t="n">
        <f aca="false">(F39*S39)</f>
        <v>0.615</v>
      </c>
      <c r="U39" s="23"/>
    </row>
    <row r="40" s="18" customFormat="true" ht="14.65" hidden="false" customHeight="false" outlineLevel="0" collapsed="false">
      <c r="A40" s="8"/>
      <c r="B40" s="8"/>
      <c r="C40" s="10"/>
      <c r="D40" s="22" t="s">
        <v>125</v>
      </c>
      <c r="E40" s="17"/>
      <c r="F40" s="20" t="n">
        <v>1</v>
      </c>
      <c r="G40" s="20" t="s">
        <v>22</v>
      </c>
      <c r="H40" s="20" t="s">
        <v>27</v>
      </c>
      <c r="I40" s="22" t="s">
        <v>126</v>
      </c>
      <c r="J40" s="17" t="s">
        <v>127</v>
      </c>
      <c r="K40" s="22"/>
      <c r="L40" s="30"/>
      <c r="M40" s="17"/>
      <c r="N40" s="17"/>
      <c r="O40" s="17"/>
      <c r="P40" s="17"/>
      <c r="Q40" s="15" t="n">
        <v>8.24</v>
      </c>
      <c r="R40" s="15" t="n">
        <f aca="false">(F40*Q40)</f>
        <v>8.24</v>
      </c>
      <c r="S40" s="15" t="n">
        <v>1.64</v>
      </c>
      <c r="T40" s="16" t="n">
        <f aca="false">(F40*S40)</f>
        <v>1.64</v>
      </c>
      <c r="U40" s="23" t="s">
        <v>128</v>
      </c>
    </row>
    <row r="41" s="18" customFormat="true" ht="14.65" hidden="false" customHeight="false" outlineLevel="0" collapsed="false">
      <c r="A41" s="8"/>
      <c r="B41" s="8"/>
      <c r="C41" s="10"/>
      <c r="D41" s="22" t="s">
        <v>129</v>
      </c>
      <c r="E41" s="17"/>
      <c r="F41" s="20" t="n">
        <v>1</v>
      </c>
      <c r="G41" s="20" t="s">
        <v>22</v>
      </c>
      <c r="H41" s="20" t="s">
        <v>27</v>
      </c>
      <c r="I41" s="22" t="s">
        <v>126</v>
      </c>
      <c r="J41" s="17" t="s">
        <v>130</v>
      </c>
      <c r="K41" s="22"/>
      <c r="L41" s="30"/>
      <c r="M41" s="17"/>
      <c r="N41" s="17"/>
      <c r="O41" s="17"/>
      <c r="P41" s="17"/>
      <c r="Q41" s="15" t="n">
        <v>7.17</v>
      </c>
      <c r="R41" s="15" t="n">
        <f aca="false">(F41*Q41)</f>
        <v>7.17</v>
      </c>
      <c r="S41" s="15" t="n">
        <v>0.2868</v>
      </c>
      <c r="T41" s="16" t="n">
        <f aca="false">(F41*S41)</f>
        <v>0.2868</v>
      </c>
      <c r="U41" s="23" t="s">
        <v>131</v>
      </c>
    </row>
    <row r="42" s="18" customFormat="true" ht="14.65" hidden="false" customHeight="false" outlineLevel="0" collapsed="false">
      <c r="A42" s="8"/>
      <c r="B42" s="8"/>
      <c r="C42" s="10"/>
      <c r="D42" s="22" t="s">
        <v>51</v>
      </c>
      <c r="E42" s="17"/>
      <c r="F42" s="20" t="n">
        <v>1</v>
      </c>
      <c r="G42" s="20" t="s">
        <v>22</v>
      </c>
      <c r="H42" s="20" t="s">
        <v>27</v>
      </c>
      <c r="I42" s="22" t="s">
        <v>52</v>
      </c>
      <c r="J42" s="17" t="s">
        <v>53</v>
      </c>
      <c r="K42" s="22" t="s">
        <v>32</v>
      </c>
      <c r="L42" s="30" t="s">
        <v>54</v>
      </c>
      <c r="M42" s="17"/>
      <c r="N42" s="17"/>
      <c r="O42" s="17"/>
      <c r="P42" s="17"/>
      <c r="Q42" s="15" t="n">
        <v>1.78</v>
      </c>
      <c r="R42" s="15" t="n">
        <f aca="false">(F42*Q42)</f>
        <v>1.78</v>
      </c>
      <c r="S42" s="15" t="n">
        <v>1.513</v>
      </c>
      <c r="T42" s="16" t="n">
        <f aca="false">(F42*S42)</f>
        <v>1.513</v>
      </c>
      <c r="U42" s="23"/>
    </row>
    <row r="43" s="18" customFormat="true" ht="14.65" hidden="false" customHeight="false" outlineLevel="0" collapsed="false">
      <c r="A43" s="8"/>
      <c r="B43" s="8"/>
      <c r="C43" s="10"/>
      <c r="D43" s="22" t="s">
        <v>132</v>
      </c>
      <c r="E43" s="17" t="s">
        <v>133</v>
      </c>
      <c r="F43" s="20" t="n">
        <v>2</v>
      </c>
      <c r="G43" s="20" t="s">
        <v>22</v>
      </c>
      <c r="H43" s="20" t="s">
        <v>27</v>
      </c>
      <c r="I43" s="22" t="s">
        <v>134</v>
      </c>
      <c r="J43" s="17"/>
      <c r="K43" s="22"/>
      <c r="L43" s="30"/>
      <c r="M43" s="17"/>
      <c r="N43" s="17"/>
      <c r="O43" s="17"/>
      <c r="P43" s="17"/>
      <c r="Q43" s="15" t="n">
        <v>13.94</v>
      </c>
      <c r="R43" s="15" t="n">
        <f aca="false">(F43*Q43)</f>
        <v>27.88</v>
      </c>
      <c r="S43" s="15" t="n">
        <v>0.087125</v>
      </c>
      <c r="T43" s="16" t="n">
        <f aca="false">(F43*S43)</f>
        <v>0.17425</v>
      </c>
      <c r="U43" s="23" t="s">
        <v>135</v>
      </c>
    </row>
    <row r="44" s="18" customFormat="true" ht="14.65" hidden="false" customHeight="false" outlineLevel="0" collapsed="false">
      <c r="A44" s="8"/>
      <c r="B44" s="8"/>
      <c r="C44" s="10"/>
      <c r="D44" s="22" t="s">
        <v>136</v>
      </c>
      <c r="E44" s="17" t="s">
        <v>137</v>
      </c>
      <c r="F44" s="20" t="n">
        <v>1</v>
      </c>
      <c r="G44" s="20" t="s">
        <v>22</v>
      </c>
      <c r="H44" s="20" t="s">
        <v>27</v>
      </c>
      <c r="I44" s="22" t="s">
        <v>134</v>
      </c>
      <c r="J44" s="17"/>
      <c r="K44" s="22"/>
      <c r="L44" s="30"/>
      <c r="M44" s="17"/>
      <c r="N44" s="17"/>
      <c r="O44" s="17"/>
      <c r="P44" s="17"/>
      <c r="Q44" s="15" t="n">
        <v>1.6</v>
      </c>
      <c r="R44" s="15" t="n">
        <f aca="false">(F44*Q44)</f>
        <v>1.6</v>
      </c>
      <c r="S44" s="15" t="n">
        <v>1.6</v>
      </c>
      <c r="T44" s="16" t="n">
        <f aca="false">(F44*S44)</f>
        <v>1.6</v>
      </c>
      <c r="U44" s="23" t="s">
        <v>138</v>
      </c>
    </row>
    <row r="45" s="18" customFormat="true" ht="14.65" hidden="false" customHeight="false" outlineLevel="0" collapsed="false">
      <c r="A45" s="8"/>
      <c r="B45" s="8"/>
      <c r="C45" s="10"/>
      <c r="D45" s="22" t="s">
        <v>139</v>
      </c>
      <c r="E45" s="17" t="s">
        <v>137</v>
      </c>
      <c r="F45" s="20" t="n">
        <v>1</v>
      </c>
      <c r="G45" s="20" t="s">
        <v>22</v>
      </c>
      <c r="H45" s="20" t="s">
        <v>27</v>
      </c>
      <c r="I45" s="22"/>
      <c r="J45" s="17"/>
      <c r="K45" s="22"/>
      <c r="L45" s="30"/>
      <c r="M45" s="17"/>
      <c r="N45" s="17"/>
      <c r="O45" s="17"/>
      <c r="P45" s="17"/>
      <c r="Q45" s="15"/>
      <c r="R45" s="15"/>
      <c r="S45" s="15"/>
      <c r="T45" s="16"/>
      <c r="U45" s="23"/>
    </row>
    <row r="46" s="18" customFormat="true" ht="14.65" hidden="false" customHeight="false" outlineLevel="0" collapsed="false">
      <c r="A46" s="8"/>
      <c r="B46" s="8"/>
      <c r="C46" s="17" t="s">
        <v>43</v>
      </c>
      <c r="D46" s="22" t="s">
        <v>140</v>
      </c>
      <c r="E46" s="17"/>
      <c r="F46" s="20" t="n">
        <v>226</v>
      </c>
      <c r="G46" s="20" t="s">
        <v>70</v>
      </c>
      <c r="H46" s="20" t="s">
        <v>23</v>
      </c>
      <c r="I46" s="22" t="s">
        <v>71</v>
      </c>
      <c r="J46" s="17" t="s">
        <v>72</v>
      </c>
      <c r="K46" s="22"/>
      <c r="L46" s="30"/>
      <c r="M46" s="17"/>
      <c r="N46" s="17"/>
      <c r="O46" s="17"/>
      <c r="P46" s="17"/>
      <c r="Q46" s="15" t="n">
        <v>0.0399</v>
      </c>
      <c r="R46" s="15" t="n">
        <f aca="false">(F46*Q46)</f>
        <v>9.0174</v>
      </c>
      <c r="S46" s="15" t="n">
        <v>0.0399</v>
      </c>
      <c r="T46" s="16" t="n">
        <f aca="false">(F46*S46)</f>
        <v>9.0174</v>
      </c>
      <c r="U46" s="23" t="s">
        <v>73</v>
      </c>
    </row>
    <row r="47" s="18" customFormat="true" ht="14.65" hidden="false" customHeight="false" outlineLevel="0" collapsed="false">
      <c r="A47" s="8"/>
      <c r="B47" s="8"/>
      <c r="C47" s="17" t="s">
        <v>43</v>
      </c>
      <c r="D47" s="22" t="s">
        <v>141</v>
      </c>
      <c r="E47" s="17"/>
      <c r="F47" s="20" t="n">
        <v>22</v>
      </c>
      <c r="G47" s="20" t="s">
        <v>70</v>
      </c>
      <c r="H47" s="20" t="s">
        <v>23</v>
      </c>
      <c r="I47" s="22" t="s">
        <v>71</v>
      </c>
      <c r="J47" s="17" t="s">
        <v>72</v>
      </c>
      <c r="K47" s="22"/>
      <c r="L47" s="30"/>
      <c r="M47" s="17"/>
      <c r="N47" s="17"/>
      <c r="O47" s="17"/>
      <c r="P47" s="17"/>
      <c r="Q47" s="15" t="n">
        <v>0.0399</v>
      </c>
      <c r="R47" s="15" t="n">
        <f aca="false">(F47*Q47)</f>
        <v>0.8778</v>
      </c>
      <c r="S47" s="15" t="n">
        <v>0.0399</v>
      </c>
      <c r="T47" s="16" t="n">
        <f aca="false">(F47*S47)</f>
        <v>0.8778</v>
      </c>
      <c r="U47" s="23" t="s">
        <v>73</v>
      </c>
    </row>
    <row r="48" s="18" customFormat="true" ht="14.65" hidden="false" customHeight="false" outlineLevel="0" collapsed="false">
      <c r="A48" s="8"/>
      <c r="B48" s="8"/>
      <c r="C48" s="17" t="s">
        <v>43</v>
      </c>
      <c r="D48" s="22" t="s">
        <v>142</v>
      </c>
      <c r="E48" s="17"/>
      <c r="F48" s="20" t="n">
        <v>24</v>
      </c>
      <c r="G48" s="20" t="s">
        <v>70</v>
      </c>
      <c r="H48" s="20" t="s">
        <v>23</v>
      </c>
      <c r="I48" s="22" t="s">
        <v>71</v>
      </c>
      <c r="J48" s="17" t="s">
        <v>72</v>
      </c>
      <c r="K48" s="22"/>
      <c r="L48" s="30"/>
      <c r="M48" s="17"/>
      <c r="N48" s="17"/>
      <c r="O48" s="17"/>
      <c r="P48" s="17"/>
      <c r="Q48" s="15" t="n">
        <v>0.0399</v>
      </c>
      <c r="R48" s="15" t="n">
        <f aca="false">(F48*Q48)</f>
        <v>0.9576</v>
      </c>
      <c r="S48" s="15" t="n">
        <v>0.0399</v>
      </c>
      <c r="T48" s="16" t="n">
        <f aca="false">(F48*S48)</f>
        <v>0.9576</v>
      </c>
      <c r="U48" s="23" t="s">
        <v>73</v>
      </c>
    </row>
    <row r="49" s="18" customFormat="true" ht="14.65" hidden="false" customHeight="false" outlineLevel="0" collapsed="false">
      <c r="A49" s="8"/>
      <c r="B49" s="8"/>
      <c r="C49" s="10"/>
      <c r="D49" s="22"/>
      <c r="E49" s="17"/>
      <c r="F49" s="20"/>
      <c r="G49" s="20"/>
      <c r="H49" s="20"/>
      <c r="I49" s="22"/>
      <c r="J49" s="17"/>
      <c r="K49" s="22"/>
      <c r="L49" s="30"/>
      <c r="M49" s="17"/>
      <c r="N49" s="17"/>
      <c r="O49" s="17"/>
      <c r="P49" s="17"/>
      <c r="Q49" s="15"/>
      <c r="R49" s="15"/>
      <c r="S49" s="15"/>
      <c r="T49" s="16"/>
      <c r="U49" s="23"/>
    </row>
    <row r="50" customFormat="false" ht="14.65" hidden="false" customHeight="false" outlineLevel="0" collapsed="false">
      <c r="A50" s="4" t="s">
        <v>0</v>
      </c>
      <c r="B50" s="4" t="s">
        <v>1</v>
      </c>
      <c r="C50" s="4" t="s">
        <v>2</v>
      </c>
      <c r="D50" s="5" t="s">
        <v>3</v>
      </c>
      <c r="E50" s="4" t="s">
        <v>4</v>
      </c>
      <c r="F50" s="4" t="s">
        <v>5</v>
      </c>
      <c r="G50" s="4" t="s">
        <v>6</v>
      </c>
      <c r="H50" s="4" t="s">
        <v>7</v>
      </c>
      <c r="I50" s="5" t="s">
        <v>8</v>
      </c>
      <c r="J50" s="5" t="s">
        <v>9</v>
      </c>
      <c r="K50" s="5" t="s">
        <v>10</v>
      </c>
      <c r="L50" s="5" t="s">
        <v>11</v>
      </c>
      <c r="M50" s="5" t="s">
        <v>12</v>
      </c>
      <c r="N50" s="5" t="s">
        <v>13</v>
      </c>
      <c r="O50" s="5" t="s">
        <v>14</v>
      </c>
      <c r="P50" s="5" t="s">
        <v>15</v>
      </c>
      <c r="Q50" s="6" t="s">
        <v>16</v>
      </c>
      <c r="R50" s="6" t="s">
        <v>17</v>
      </c>
      <c r="S50" s="6" t="s">
        <v>18</v>
      </c>
      <c r="T50" s="5" t="s">
        <v>19</v>
      </c>
      <c r="U50" s="26"/>
    </row>
    <row r="51" s="18" customFormat="true" ht="14.65" hidden="false" customHeight="false" outlineLevel="0" collapsed="false">
      <c r="A51" s="8"/>
      <c r="B51" s="9"/>
      <c r="C51" s="10"/>
      <c r="D51" s="11" t="s">
        <v>143</v>
      </c>
      <c r="E51" s="14"/>
      <c r="F51" s="13"/>
      <c r="G51" s="13"/>
      <c r="H51" s="13"/>
      <c r="I51" s="27"/>
      <c r="J51" s="27"/>
      <c r="K51" s="27"/>
      <c r="L51" s="27"/>
      <c r="M51" s="14"/>
      <c r="N51" s="14"/>
      <c r="O51" s="14"/>
      <c r="P51" s="14"/>
      <c r="Q51" s="15"/>
      <c r="R51" s="15"/>
      <c r="S51" s="15"/>
      <c r="T51" s="16"/>
      <c r="U51" s="17"/>
    </row>
    <row r="52" s="18" customFormat="true" ht="14.65" hidden="false" customHeight="false" outlineLevel="0" collapsed="false">
      <c r="A52" s="8"/>
      <c r="B52" s="8"/>
      <c r="C52" s="10"/>
      <c r="D52" s="22" t="s">
        <v>144</v>
      </c>
      <c r="E52" s="17" t="s">
        <v>145</v>
      </c>
      <c r="F52" s="20" t="n">
        <v>1</v>
      </c>
      <c r="G52" s="20" t="s">
        <v>22</v>
      </c>
      <c r="H52" s="20" t="s">
        <v>27</v>
      </c>
      <c r="I52" s="22" t="s">
        <v>146</v>
      </c>
      <c r="J52" s="17" t="s">
        <v>147</v>
      </c>
      <c r="K52" s="22" t="s">
        <v>32</v>
      </c>
      <c r="L52" s="30" t="s">
        <v>148</v>
      </c>
      <c r="M52" s="17"/>
      <c r="N52" s="17"/>
      <c r="O52" s="17"/>
      <c r="P52" s="17"/>
      <c r="Q52" s="15" t="n">
        <v>0.19</v>
      </c>
      <c r="R52" s="15" t="n">
        <f aca="false">(F52*Q52)</f>
        <v>0.19</v>
      </c>
      <c r="S52" s="15" t="n">
        <v>0.162</v>
      </c>
      <c r="T52" s="16" t="n">
        <f aca="false">(S52*F52)</f>
        <v>0.162</v>
      </c>
      <c r="U52" s="23"/>
    </row>
    <row r="53" s="18" customFormat="true" ht="14.65" hidden="false" customHeight="false" outlineLevel="0" collapsed="false">
      <c r="A53" s="8"/>
      <c r="B53" s="8"/>
      <c r="C53" s="10"/>
      <c r="D53" s="22" t="s">
        <v>149</v>
      </c>
      <c r="E53" s="17" t="s">
        <v>150</v>
      </c>
      <c r="F53" s="20" t="n">
        <v>2</v>
      </c>
      <c r="G53" s="20" t="s">
        <v>22</v>
      </c>
      <c r="H53" s="20" t="s">
        <v>27</v>
      </c>
      <c r="I53" s="22" t="s">
        <v>146</v>
      </c>
      <c r="J53" s="17" t="s">
        <v>151</v>
      </c>
      <c r="K53" s="22" t="s">
        <v>32</v>
      </c>
      <c r="L53" s="30" t="s">
        <v>152</v>
      </c>
      <c r="M53" s="17"/>
      <c r="N53" s="17"/>
      <c r="O53" s="17"/>
      <c r="P53" s="17"/>
      <c r="Q53" s="15" t="n">
        <v>0.1</v>
      </c>
      <c r="R53" s="15" t="n">
        <f aca="false">(F53*Q53)</f>
        <v>0.2</v>
      </c>
      <c r="S53" s="15" t="n">
        <v>0.077</v>
      </c>
      <c r="T53" s="16" t="n">
        <f aca="false">(S53*F53)</f>
        <v>0.154</v>
      </c>
      <c r="U53" s="23"/>
    </row>
    <row r="54" s="18" customFormat="true" ht="14.65" hidden="false" customHeight="false" outlineLevel="0" collapsed="false">
      <c r="A54" s="8"/>
      <c r="B54" s="8"/>
      <c r="C54" s="10"/>
      <c r="D54" s="22" t="s">
        <v>153</v>
      </c>
      <c r="E54" s="17" t="s">
        <v>154</v>
      </c>
      <c r="F54" s="20" t="n">
        <v>1</v>
      </c>
      <c r="G54" s="20" t="s">
        <v>22</v>
      </c>
      <c r="H54" s="20" t="s">
        <v>27</v>
      </c>
      <c r="I54" s="22" t="s">
        <v>146</v>
      </c>
      <c r="J54" s="17" t="s">
        <v>155</v>
      </c>
      <c r="K54" s="22" t="s">
        <v>32</v>
      </c>
      <c r="L54" s="30" t="s">
        <v>156</v>
      </c>
      <c r="M54" s="17" t="s">
        <v>146</v>
      </c>
      <c r="N54" s="17" t="s">
        <v>157</v>
      </c>
      <c r="O54" s="17"/>
      <c r="P54" s="17"/>
      <c r="Q54" s="15" t="n">
        <v>0.1</v>
      </c>
      <c r="R54" s="15" t="n">
        <f aca="false">(F54*Q54)</f>
        <v>0.1</v>
      </c>
      <c r="S54" s="15" t="n">
        <v>0.066</v>
      </c>
      <c r="T54" s="16" t="n">
        <f aca="false">(S54*F54)</f>
        <v>0.066</v>
      </c>
      <c r="U54" s="23"/>
    </row>
    <row r="55" s="18" customFormat="true" ht="14.65" hidden="false" customHeight="false" outlineLevel="0" collapsed="false">
      <c r="A55" s="8"/>
      <c r="B55" s="8"/>
      <c r="C55" s="10"/>
      <c r="D55" s="22" t="s">
        <v>158</v>
      </c>
      <c r="E55" s="17" t="s">
        <v>159</v>
      </c>
      <c r="F55" s="20" t="n">
        <v>1</v>
      </c>
      <c r="G55" s="20" t="s">
        <v>22</v>
      </c>
      <c r="H55" s="20" t="s">
        <v>27</v>
      </c>
      <c r="I55" s="22" t="s">
        <v>146</v>
      </c>
      <c r="J55" s="17" t="s">
        <v>160</v>
      </c>
      <c r="K55" s="22" t="s">
        <v>32</v>
      </c>
      <c r="L55" s="30" t="s">
        <v>161</v>
      </c>
      <c r="M55" s="17"/>
      <c r="N55" s="17"/>
      <c r="O55" s="17"/>
      <c r="P55" s="17"/>
      <c r="Q55" s="15" t="n">
        <v>0.1</v>
      </c>
      <c r="R55" s="15" t="n">
        <f aca="false">(F55*Q55)</f>
        <v>0.1</v>
      </c>
      <c r="S55" s="15" t="n">
        <v>0.083</v>
      </c>
      <c r="T55" s="16" t="n">
        <f aca="false">(S55*F55)</f>
        <v>0.083</v>
      </c>
      <c r="U55" s="23"/>
    </row>
    <row r="56" s="18" customFormat="true" ht="14.65" hidden="false" customHeight="false" outlineLevel="0" collapsed="false">
      <c r="A56" s="8"/>
      <c r="B56" s="8"/>
      <c r="C56" s="10"/>
      <c r="D56" s="22" t="s">
        <v>162</v>
      </c>
      <c r="E56" s="17" t="s">
        <v>163</v>
      </c>
      <c r="F56" s="20" t="n">
        <v>21</v>
      </c>
      <c r="G56" s="20" t="s">
        <v>22</v>
      </c>
      <c r="H56" s="20" t="s">
        <v>27</v>
      </c>
      <c r="I56" s="22" t="s">
        <v>146</v>
      </c>
      <c r="J56" s="17" t="s">
        <v>164</v>
      </c>
      <c r="K56" s="22" t="s">
        <v>32</v>
      </c>
      <c r="L56" s="30" t="s">
        <v>165</v>
      </c>
      <c r="M56" s="17"/>
      <c r="N56" s="17"/>
      <c r="O56" s="17"/>
      <c r="P56" s="17"/>
      <c r="Q56" s="15" t="n">
        <v>0.0246</v>
      </c>
      <c r="R56" s="15" t="n">
        <f aca="false">(F56*Q56)</f>
        <v>0.5166</v>
      </c>
      <c r="S56" s="15" t="n">
        <v>0.0246</v>
      </c>
      <c r="T56" s="16" t="n">
        <f aca="false">(S56*F56)</f>
        <v>0.5166</v>
      </c>
      <c r="U56" s="23" t="s">
        <v>166</v>
      </c>
    </row>
    <row r="57" s="18" customFormat="true" ht="14.65" hidden="false" customHeight="false" outlineLevel="0" collapsed="false">
      <c r="A57" s="8"/>
      <c r="B57" s="8"/>
      <c r="C57" s="10"/>
      <c r="D57" s="22" t="s">
        <v>167</v>
      </c>
      <c r="E57" s="17" t="s">
        <v>168</v>
      </c>
      <c r="F57" s="20" t="n">
        <v>2</v>
      </c>
      <c r="G57" s="20" t="s">
        <v>22</v>
      </c>
      <c r="H57" s="20" t="s">
        <v>27</v>
      </c>
      <c r="I57" s="22" t="s">
        <v>146</v>
      </c>
      <c r="J57" s="17" t="s">
        <v>169</v>
      </c>
      <c r="K57" s="22" t="s">
        <v>32</v>
      </c>
      <c r="L57" s="30" t="s">
        <v>170</v>
      </c>
      <c r="M57" s="17"/>
      <c r="N57" s="17"/>
      <c r="O57" s="17"/>
      <c r="P57" s="17"/>
      <c r="Q57" s="15" t="n">
        <v>0.0541</v>
      </c>
      <c r="R57" s="15" t="n">
        <f aca="false">(F57*Q57)</f>
        <v>0.1082</v>
      </c>
      <c r="S57" s="15" t="n">
        <v>0.0541</v>
      </c>
      <c r="T57" s="16" t="n">
        <f aca="false">(S57*F57)</f>
        <v>0.1082</v>
      </c>
      <c r="U57" s="23" t="s">
        <v>166</v>
      </c>
    </row>
    <row r="58" s="18" customFormat="true" ht="14.65" hidden="false" customHeight="false" outlineLevel="0" collapsed="false">
      <c r="A58" s="8"/>
      <c r="B58" s="8"/>
      <c r="C58" s="10"/>
      <c r="D58" s="22" t="s">
        <v>171</v>
      </c>
      <c r="E58" s="17"/>
      <c r="F58" s="20" t="n">
        <v>1.5</v>
      </c>
      <c r="G58" s="20" t="s">
        <v>114</v>
      </c>
      <c r="H58" s="20" t="s">
        <v>27</v>
      </c>
      <c r="I58" s="22" t="s">
        <v>172</v>
      </c>
      <c r="J58" s="17" t="s">
        <v>173</v>
      </c>
      <c r="K58" s="22" t="s">
        <v>172</v>
      </c>
      <c r="L58" s="30" t="s">
        <v>173</v>
      </c>
      <c r="M58" s="17"/>
      <c r="N58" s="17"/>
      <c r="O58" s="17"/>
      <c r="P58" s="17"/>
      <c r="Q58" s="15" t="n">
        <v>0.22</v>
      </c>
      <c r="R58" s="15" t="n">
        <f aca="false">(F58*Q58)</f>
        <v>0.33</v>
      </c>
      <c r="S58" s="15" t="n">
        <v>0.22</v>
      </c>
      <c r="T58" s="16" t="n">
        <f aca="false">(S58*F58)</f>
        <v>0.33</v>
      </c>
      <c r="U58" s="23"/>
    </row>
    <row r="59" s="18" customFormat="true" ht="14.65" hidden="false" customHeight="false" outlineLevel="0" collapsed="false">
      <c r="A59" s="8"/>
      <c r="B59" s="8"/>
      <c r="C59" s="10"/>
      <c r="D59" s="22" t="s">
        <v>174</v>
      </c>
      <c r="E59" s="17"/>
      <c r="F59" s="20" t="n">
        <v>1.5</v>
      </c>
      <c r="G59" s="20" t="s">
        <v>114</v>
      </c>
      <c r="H59" s="20" t="s">
        <v>27</v>
      </c>
      <c r="I59" s="22" t="s">
        <v>172</v>
      </c>
      <c r="J59" s="17" t="s">
        <v>175</v>
      </c>
      <c r="K59" s="22" t="s">
        <v>172</v>
      </c>
      <c r="L59" s="17" t="s">
        <v>175</v>
      </c>
      <c r="M59" s="17"/>
      <c r="N59" s="17"/>
      <c r="O59" s="17"/>
      <c r="P59" s="17"/>
      <c r="Q59" s="15" t="n">
        <v>0.22</v>
      </c>
      <c r="R59" s="15" t="n">
        <f aca="false">(F59*Q59)</f>
        <v>0.33</v>
      </c>
      <c r="S59" s="15" t="n">
        <v>0.22</v>
      </c>
      <c r="T59" s="16" t="n">
        <f aca="false">(S59*F59)</f>
        <v>0.33</v>
      </c>
      <c r="U59" s="23"/>
    </row>
    <row r="60" s="18" customFormat="true" ht="14.65" hidden="false" customHeight="false" outlineLevel="0" collapsed="false">
      <c r="A60" s="8"/>
      <c r="B60" s="8"/>
      <c r="C60" s="10"/>
      <c r="D60" s="22" t="s">
        <v>176</v>
      </c>
      <c r="E60" s="17"/>
      <c r="F60" s="20" t="n">
        <v>1</v>
      </c>
      <c r="G60" s="20" t="s">
        <v>114</v>
      </c>
      <c r="H60" s="20" t="s">
        <v>27</v>
      </c>
      <c r="I60" s="22" t="s">
        <v>172</v>
      </c>
      <c r="J60" s="17" t="s">
        <v>177</v>
      </c>
      <c r="K60" s="22" t="s">
        <v>172</v>
      </c>
      <c r="L60" s="17" t="s">
        <v>177</v>
      </c>
      <c r="M60" s="17"/>
      <c r="N60" s="17"/>
      <c r="O60" s="17"/>
      <c r="P60" s="17"/>
      <c r="Q60" s="15" t="n">
        <v>0.22</v>
      </c>
      <c r="R60" s="15" t="n">
        <f aca="false">(F60*Q60)</f>
        <v>0.22</v>
      </c>
      <c r="S60" s="15" t="n">
        <v>0.22</v>
      </c>
      <c r="T60" s="16" t="n">
        <f aca="false">(S60*F60)</f>
        <v>0.22</v>
      </c>
      <c r="U60" s="23"/>
    </row>
    <row r="61" s="18" customFormat="true" ht="14.65" hidden="false" customHeight="false" outlineLevel="0" collapsed="false">
      <c r="A61" s="8"/>
      <c r="B61" s="8"/>
      <c r="C61" s="10"/>
      <c r="D61" s="22" t="s">
        <v>178</v>
      </c>
      <c r="E61" s="17"/>
      <c r="F61" s="20" t="n">
        <v>1</v>
      </c>
      <c r="G61" s="20" t="s">
        <v>114</v>
      </c>
      <c r="H61" s="20" t="s">
        <v>27</v>
      </c>
      <c r="I61" s="22" t="s">
        <v>172</v>
      </c>
      <c r="J61" s="17" t="s">
        <v>179</v>
      </c>
      <c r="K61" s="22" t="s">
        <v>172</v>
      </c>
      <c r="L61" s="17" t="s">
        <v>179</v>
      </c>
      <c r="M61" s="17"/>
      <c r="N61" s="17"/>
      <c r="O61" s="17"/>
      <c r="P61" s="17"/>
      <c r="Q61" s="15" t="n">
        <v>0.22</v>
      </c>
      <c r="R61" s="15" t="n">
        <f aca="false">(F61*Q61)</f>
        <v>0.22</v>
      </c>
      <c r="S61" s="15" t="n">
        <v>0.22</v>
      </c>
      <c r="T61" s="16" t="n">
        <f aca="false">(S61*F61)</f>
        <v>0.22</v>
      </c>
      <c r="U61" s="23"/>
    </row>
    <row r="62" s="18" customFormat="true" ht="14.65" hidden="false" customHeight="false" outlineLevel="0" collapsed="false">
      <c r="A62" s="8"/>
      <c r="B62" s="8"/>
      <c r="C62" s="10"/>
      <c r="D62" s="22" t="s">
        <v>180</v>
      </c>
      <c r="E62" s="17"/>
      <c r="F62" s="20" t="n">
        <v>1</v>
      </c>
      <c r="G62" s="20" t="s">
        <v>114</v>
      </c>
      <c r="H62" s="20" t="s">
        <v>27</v>
      </c>
      <c r="I62" s="22" t="s">
        <v>172</v>
      </c>
      <c r="J62" s="17" t="s">
        <v>181</v>
      </c>
      <c r="K62" s="22" t="s">
        <v>172</v>
      </c>
      <c r="L62" s="17" t="s">
        <v>181</v>
      </c>
      <c r="M62" s="17"/>
      <c r="N62" s="17"/>
      <c r="O62" s="17"/>
      <c r="P62" s="17"/>
      <c r="Q62" s="15" t="n">
        <v>0.22</v>
      </c>
      <c r="R62" s="15" t="n">
        <f aca="false">(F62*Q62)</f>
        <v>0.22</v>
      </c>
      <c r="S62" s="15" t="n">
        <v>0.22</v>
      </c>
      <c r="T62" s="16" t="n">
        <f aca="false">(S62*F62)</f>
        <v>0.22</v>
      </c>
      <c r="U62" s="23"/>
    </row>
    <row r="63" s="18" customFormat="true" ht="14.65" hidden="false" customHeight="false" outlineLevel="0" collapsed="false">
      <c r="A63" s="8"/>
      <c r="B63" s="8"/>
      <c r="C63" s="10"/>
      <c r="D63" s="22" t="s">
        <v>182</v>
      </c>
      <c r="E63" s="17"/>
      <c r="F63" s="20" t="n">
        <v>1.5</v>
      </c>
      <c r="G63" s="20" t="s">
        <v>114</v>
      </c>
      <c r="H63" s="20" t="s">
        <v>27</v>
      </c>
      <c r="I63" s="22" t="s">
        <v>172</v>
      </c>
      <c r="J63" s="17" t="s">
        <v>183</v>
      </c>
      <c r="K63" s="22" t="s">
        <v>172</v>
      </c>
      <c r="L63" s="17" t="s">
        <v>183</v>
      </c>
      <c r="M63" s="17"/>
      <c r="N63" s="17"/>
      <c r="O63" s="17"/>
      <c r="P63" s="17"/>
      <c r="Q63" s="15" t="n">
        <v>0.22</v>
      </c>
      <c r="R63" s="15" t="n">
        <f aca="false">(F63*Q63)</f>
        <v>0.33</v>
      </c>
      <c r="S63" s="15" t="n">
        <v>0.22</v>
      </c>
      <c r="T63" s="16" t="n">
        <f aca="false">(S63*F63)</f>
        <v>0.33</v>
      </c>
      <c r="U63" s="23"/>
    </row>
    <row r="64" s="18" customFormat="true" ht="14.65" hidden="false" customHeight="false" outlineLevel="0" collapsed="false">
      <c r="A64" s="8"/>
      <c r="B64" s="8"/>
      <c r="C64" s="10"/>
      <c r="D64" s="22" t="s">
        <v>184</v>
      </c>
      <c r="E64" s="17"/>
      <c r="F64" s="20" t="n">
        <v>1</v>
      </c>
      <c r="G64" s="20" t="s">
        <v>114</v>
      </c>
      <c r="H64" s="20" t="s">
        <v>27</v>
      </c>
      <c r="I64" s="22" t="s">
        <v>172</v>
      </c>
      <c r="J64" s="17" t="s">
        <v>185</v>
      </c>
      <c r="K64" s="22" t="s">
        <v>172</v>
      </c>
      <c r="L64" s="17" t="s">
        <v>185</v>
      </c>
      <c r="M64" s="17"/>
      <c r="N64" s="17"/>
      <c r="O64" s="17"/>
      <c r="P64" s="17"/>
      <c r="Q64" s="15" t="n">
        <v>0.22</v>
      </c>
      <c r="R64" s="15" t="n">
        <f aca="false">(F64*Q64)</f>
        <v>0.22</v>
      </c>
      <c r="S64" s="15" t="n">
        <v>0.22</v>
      </c>
      <c r="T64" s="16" t="n">
        <f aca="false">(S64*F64)</f>
        <v>0.22</v>
      </c>
      <c r="U64" s="23"/>
    </row>
    <row r="65" s="18" customFormat="true" ht="14.65" hidden="false" customHeight="false" outlineLevel="0" collapsed="false">
      <c r="A65" s="8"/>
      <c r="B65" s="8"/>
      <c r="C65" s="10"/>
      <c r="D65" s="22" t="s">
        <v>186</v>
      </c>
      <c r="E65" s="17"/>
      <c r="F65" s="20" t="n">
        <v>1</v>
      </c>
      <c r="G65" s="20" t="s">
        <v>114</v>
      </c>
      <c r="H65" s="20" t="s">
        <v>27</v>
      </c>
      <c r="I65" s="22" t="s">
        <v>172</v>
      </c>
      <c r="J65" s="17" t="s">
        <v>173</v>
      </c>
      <c r="K65" s="22" t="s">
        <v>172</v>
      </c>
      <c r="L65" s="30" t="s">
        <v>173</v>
      </c>
      <c r="M65" s="17"/>
      <c r="N65" s="17"/>
      <c r="O65" s="17"/>
      <c r="P65" s="17"/>
      <c r="Q65" s="15" t="n">
        <v>0.24</v>
      </c>
      <c r="R65" s="15" t="n">
        <f aca="false">(F65*Q65)</f>
        <v>0.24</v>
      </c>
      <c r="S65" s="15" t="n">
        <v>0.24</v>
      </c>
      <c r="T65" s="16" t="n">
        <f aca="false">(S65*F65)</f>
        <v>0.24</v>
      </c>
      <c r="U65" s="23"/>
    </row>
    <row r="66" s="18" customFormat="true" ht="14.65" hidden="false" customHeight="false" outlineLevel="0" collapsed="false">
      <c r="A66" s="8"/>
      <c r="B66" s="8"/>
      <c r="C66" s="10"/>
      <c r="D66" s="22"/>
      <c r="E66" s="17"/>
      <c r="F66" s="20"/>
      <c r="G66" s="20"/>
      <c r="H66" s="20"/>
      <c r="I66" s="22"/>
      <c r="J66" s="17"/>
      <c r="K66" s="22"/>
      <c r="L66" s="30"/>
      <c r="M66" s="17"/>
      <c r="N66" s="17"/>
      <c r="O66" s="17"/>
      <c r="P66" s="17"/>
      <c r="Q66" s="15"/>
      <c r="R66" s="15"/>
      <c r="S66" s="15"/>
      <c r="T66" s="16"/>
      <c r="U66" s="23"/>
    </row>
    <row r="67" customFormat="false" ht="14.65" hidden="false" customHeight="false" outlineLevel="0" collapsed="false">
      <c r="A67" s="4" t="s">
        <v>0</v>
      </c>
      <c r="B67" s="4" t="s">
        <v>1</v>
      </c>
      <c r="C67" s="4" t="s">
        <v>2</v>
      </c>
      <c r="D67" s="5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5" t="s">
        <v>8</v>
      </c>
      <c r="J67" s="5" t="s">
        <v>9</v>
      </c>
      <c r="K67" s="5" t="s">
        <v>10</v>
      </c>
      <c r="L67" s="5" t="s">
        <v>11</v>
      </c>
      <c r="M67" s="5" t="s">
        <v>12</v>
      </c>
      <c r="N67" s="5" t="s">
        <v>13</v>
      </c>
      <c r="O67" s="5" t="s">
        <v>14</v>
      </c>
      <c r="P67" s="5" t="s">
        <v>15</v>
      </c>
      <c r="Q67" s="6" t="s">
        <v>16</v>
      </c>
      <c r="R67" s="6" t="s">
        <v>17</v>
      </c>
      <c r="S67" s="6" t="s">
        <v>18</v>
      </c>
      <c r="T67" s="5" t="s">
        <v>19</v>
      </c>
      <c r="U67" s="26"/>
    </row>
    <row r="68" s="18" customFormat="true" ht="14.65" hidden="false" customHeight="false" outlineLevel="0" collapsed="false">
      <c r="A68" s="8"/>
      <c r="B68" s="9"/>
      <c r="C68" s="10"/>
      <c r="D68" s="11" t="s">
        <v>21</v>
      </c>
      <c r="E68" s="14"/>
      <c r="F68" s="13"/>
      <c r="G68" s="13"/>
      <c r="H68" s="13"/>
      <c r="I68" s="27"/>
      <c r="J68" s="27"/>
      <c r="K68" s="27"/>
      <c r="L68" s="27"/>
      <c r="M68" s="14"/>
      <c r="N68" s="14"/>
      <c r="O68" s="14"/>
      <c r="P68" s="14"/>
      <c r="Q68" s="15"/>
      <c r="R68" s="15"/>
      <c r="S68" s="15"/>
      <c r="T68" s="16"/>
      <c r="U68" s="17"/>
    </row>
    <row r="69" customFormat="false" ht="14.65" hidden="false" customHeight="false" outlineLevel="0" collapsed="false">
      <c r="A69" s="17"/>
      <c r="B69" s="17"/>
      <c r="C69" s="17"/>
      <c r="D69" s="17" t="s">
        <v>187</v>
      </c>
      <c r="E69" s="17" t="s">
        <v>188</v>
      </c>
      <c r="F69" s="32" t="n">
        <v>4</v>
      </c>
      <c r="G69" s="32" t="s">
        <v>22</v>
      </c>
      <c r="H69" s="32" t="s">
        <v>27</v>
      </c>
      <c r="I69" s="22" t="s">
        <v>189</v>
      </c>
      <c r="J69" s="17" t="s">
        <v>190</v>
      </c>
      <c r="K69" s="17" t="s">
        <v>32</v>
      </c>
      <c r="L69" s="17" t="s">
        <v>191</v>
      </c>
      <c r="M69" s="17"/>
      <c r="N69" s="17"/>
      <c r="O69" s="17"/>
      <c r="P69" s="17"/>
      <c r="Q69" s="33" t="n">
        <v>0.08</v>
      </c>
      <c r="R69" s="34" t="n">
        <f aca="false">(F69*Q69)</f>
        <v>0.32</v>
      </c>
      <c r="S69" s="33" t="n">
        <v>0.043</v>
      </c>
      <c r="T69" s="35" t="n">
        <f aca="false">(F69*S69)</f>
        <v>0.172</v>
      </c>
      <c r="U69" s="17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36"/>
      <c r="IM69" s="36"/>
      <c r="IN69" s="36"/>
      <c r="IO69" s="36"/>
      <c r="IP69" s="36"/>
      <c r="IQ69" s="36"/>
      <c r="IR69" s="36"/>
      <c r="IS69" s="36"/>
      <c r="IT69" s="36"/>
      <c r="IU69" s="36"/>
      <c r="IV69" s="36"/>
    </row>
    <row r="70" s="18" customFormat="true" ht="14.65" hidden="false" customHeight="false" outlineLevel="0" collapsed="false">
      <c r="A70" s="20"/>
      <c r="B70" s="20"/>
      <c r="C70" s="17"/>
      <c r="D70" s="22" t="s">
        <v>192</v>
      </c>
      <c r="E70" s="17" t="s">
        <v>193</v>
      </c>
      <c r="F70" s="20" t="n">
        <v>1</v>
      </c>
      <c r="G70" s="20" t="s">
        <v>22</v>
      </c>
      <c r="H70" s="20" t="s">
        <v>27</v>
      </c>
      <c r="I70" s="22" t="s">
        <v>194</v>
      </c>
      <c r="J70" s="22" t="s">
        <v>195</v>
      </c>
      <c r="K70" s="22" t="s">
        <v>32</v>
      </c>
      <c r="L70" s="22" t="s">
        <v>196</v>
      </c>
      <c r="M70" s="17"/>
      <c r="N70" s="17"/>
      <c r="O70" s="17"/>
      <c r="P70" s="17"/>
      <c r="Q70" s="15" t="n">
        <v>0.1</v>
      </c>
      <c r="R70" s="34" t="n">
        <f aca="false">(F70*Q70)</f>
        <v>0.1</v>
      </c>
      <c r="S70" s="15" t="n">
        <v>0.049</v>
      </c>
      <c r="T70" s="35" t="n">
        <f aca="false">(F70*S70)</f>
        <v>0.049</v>
      </c>
      <c r="U70" s="17"/>
    </row>
    <row r="71" s="1" customFormat="true" ht="14.4" hidden="false" customHeight="true" outlineLevel="0" collapsed="false">
      <c r="A71" s="37"/>
      <c r="B71" s="37"/>
      <c r="C71" s="26"/>
      <c r="D71" s="22" t="s">
        <v>197</v>
      </c>
      <c r="E71" s="30" t="s">
        <v>198</v>
      </c>
      <c r="F71" s="20" t="n">
        <v>1</v>
      </c>
      <c r="G71" s="38" t="s">
        <v>22</v>
      </c>
      <c r="H71" s="38" t="s">
        <v>27</v>
      </c>
      <c r="I71" s="22" t="s">
        <v>199</v>
      </c>
      <c r="J71" s="22" t="s">
        <v>200</v>
      </c>
      <c r="K71" s="22" t="s">
        <v>32</v>
      </c>
      <c r="L71" s="17" t="s">
        <v>201</v>
      </c>
      <c r="M71" s="7"/>
      <c r="N71" s="7"/>
      <c r="O71" s="7"/>
      <c r="P71" s="7"/>
      <c r="Q71" s="34" t="n">
        <v>0.15</v>
      </c>
      <c r="R71" s="34" t="n">
        <f aca="false">(F71*Q71)</f>
        <v>0.15</v>
      </c>
      <c r="S71" s="34" t="n">
        <v>0.087</v>
      </c>
      <c r="T71" s="35" t="n">
        <f aca="false">(F71*S71)</f>
        <v>0.087</v>
      </c>
      <c r="U71" s="39"/>
    </row>
    <row r="72" customFormat="false" ht="14.65" hidden="false" customHeight="false" outlineLevel="0" collapsed="false">
      <c r="A72" s="17"/>
      <c r="B72" s="17"/>
      <c r="C72" s="17"/>
      <c r="D72" s="17" t="s">
        <v>202</v>
      </c>
      <c r="E72" s="17" t="s">
        <v>203</v>
      </c>
      <c r="F72" s="32" t="n">
        <v>3</v>
      </c>
      <c r="G72" s="32" t="s">
        <v>22</v>
      </c>
      <c r="H72" s="32" t="s">
        <v>27</v>
      </c>
      <c r="I72" s="17" t="s">
        <v>204</v>
      </c>
      <c r="J72" s="17" t="s">
        <v>205</v>
      </c>
      <c r="K72" s="17" t="s">
        <v>32</v>
      </c>
      <c r="L72" s="17" t="s">
        <v>206</v>
      </c>
      <c r="M72" s="17"/>
      <c r="N72" s="17"/>
      <c r="O72" s="17"/>
      <c r="P72" s="17"/>
      <c r="Q72" s="33" t="n">
        <v>0.54</v>
      </c>
      <c r="R72" s="34" t="n">
        <f aca="false">(F72*Q72)</f>
        <v>1.62</v>
      </c>
      <c r="S72" s="33" t="n">
        <v>0.324</v>
      </c>
      <c r="T72" s="35" t="n">
        <f aca="false">(F72*S72)</f>
        <v>0.972</v>
      </c>
      <c r="U72" s="17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/>
      <c r="HH72" s="36"/>
      <c r="HI72" s="36"/>
      <c r="HJ72" s="36"/>
      <c r="HK72" s="36"/>
      <c r="HL72" s="36"/>
      <c r="HM72" s="36"/>
      <c r="HN72" s="36"/>
      <c r="HO72" s="36"/>
      <c r="HP72" s="36"/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</row>
    <row r="73" s="18" customFormat="true" ht="14.65" hidden="false" customHeight="false" outlineLevel="0" collapsed="false">
      <c r="A73" s="20"/>
      <c r="B73" s="20"/>
      <c r="C73" s="17"/>
      <c r="D73" s="22" t="s">
        <v>207</v>
      </c>
      <c r="E73" s="17" t="s">
        <v>208</v>
      </c>
      <c r="F73" s="20" t="n">
        <v>2</v>
      </c>
      <c r="G73" s="20" t="s">
        <v>22</v>
      </c>
      <c r="H73" s="20" t="s">
        <v>27</v>
      </c>
      <c r="I73" s="22" t="s">
        <v>209</v>
      </c>
      <c r="J73" s="22" t="s">
        <v>210</v>
      </c>
      <c r="K73" s="22" t="s">
        <v>32</v>
      </c>
      <c r="L73" s="22" t="s">
        <v>211</v>
      </c>
      <c r="M73" s="17"/>
      <c r="N73" s="17"/>
      <c r="O73" s="17"/>
      <c r="P73" s="17"/>
      <c r="Q73" s="15" t="n">
        <v>0.1</v>
      </c>
      <c r="R73" s="15"/>
      <c r="S73" s="15" t="n">
        <v>0.04</v>
      </c>
      <c r="T73" s="16"/>
      <c r="U73" s="17"/>
    </row>
    <row r="74" s="1" customFormat="true" ht="35.05" hidden="false" customHeight="false" outlineLevel="0" collapsed="false">
      <c r="A74" s="37"/>
      <c r="B74" s="37"/>
      <c r="C74" s="26"/>
      <c r="D74" s="22" t="s">
        <v>212</v>
      </c>
      <c r="E74" s="30" t="s">
        <v>213</v>
      </c>
      <c r="F74" s="20" t="n">
        <v>11</v>
      </c>
      <c r="G74" s="38" t="s">
        <v>22</v>
      </c>
      <c r="H74" s="38" t="s">
        <v>27</v>
      </c>
      <c r="I74" s="40" t="s">
        <v>194</v>
      </c>
      <c r="J74" s="40" t="s">
        <v>214</v>
      </c>
      <c r="K74" s="40" t="s">
        <v>32</v>
      </c>
      <c r="L74" s="7" t="s">
        <v>215</v>
      </c>
      <c r="M74" s="7"/>
      <c r="N74" s="7"/>
      <c r="O74" s="7"/>
      <c r="P74" s="7"/>
      <c r="Q74" s="34" t="n">
        <v>0.1</v>
      </c>
      <c r="R74" s="34" t="n">
        <f aca="false">(F74*Q74)</f>
        <v>1.1</v>
      </c>
      <c r="S74" s="34" t="n">
        <v>0.043</v>
      </c>
      <c r="T74" s="35" t="n">
        <f aca="false">(F74*S74)</f>
        <v>0.473</v>
      </c>
      <c r="U74" s="39"/>
    </row>
    <row r="75" s="1" customFormat="true" ht="29.85" hidden="false" customHeight="true" outlineLevel="0" collapsed="false">
      <c r="A75" s="37"/>
      <c r="B75" s="37"/>
      <c r="C75" s="26"/>
      <c r="D75" s="41" t="s">
        <v>216</v>
      </c>
      <c r="E75" s="30" t="s">
        <v>217</v>
      </c>
      <c r="F75" s="20" t="n">
        <v>3</v>
      </c>
      <c r="G75" s="42" t="s">
        <v>22</v>
      </c>
      <c r="H75" s="42" t="s">
        <v>27</v>
      </c>
      <c r="I75" s="43" t="s">
        <v>189</v>
      </c>
      <c r="J75" s="43" t="s">
        <v>218</v>
      </c>
      <c r="K75" s="43" t="s">
        <v>32</v>
      </c>
      <c r="L75" s="44" t="s">
        <v>219</v>
      </c>
      <c r="M75" s="7" t="s">
        <v>194</v>
      </c>
      <c r="N75" s="7" t="s">
        <v>220</v>
      </c>
      <c r="O75" s="7"/>
      <c r="P75" s="7"/>
      <c r="Q75" s="34" t="n">
        <v>0.08</v>
      </c>
      <c r="R75" s="34" t="n">
        <f aca="false">(F75*Q75)</f>
        <v>0.24</v>
      </c>
      <c r="S75" s="34" t="n">
        <v>0.009</v>
      </c>
      <c r="T75" s="35" t="n">
        <f aca="false">(F75*S75)</f>
        <v>0.027</v>
      </c>
      <c r="U75" s="39"/>
    </row>
    <row r="76" customFormat="false" ht="14.65" hidden="false" customHeight="false" outlineLevel="0" collapsed="false">
      <c r="A76" s="17"/>
      <c r="B76" s="17"/>
      <c r="C76" s="17"/>
      <c r="D76" s="17" t="s">
        <v>221</v>
      </c>
      <c r="E76" s="17" t="s">
        <v>222</v>
      </c>
      <c r="F76" s="32" t="n">
        <v>1</v>
      </c>
      <c r="G76" s="32" t="s">
        <v>22</v>
      </c>
      <c r="H76" s="32" t="s">
        <v>27</v>
      </c>
      <c r="I76" s="17" t="s">
        <v>194</v>
      </c>
      <c r="J76" s="17" t="s">
        <v>223</v>
      </c>
      <c r="K76" s="17" t="s">
        <v>32</v>
      </c>
      <c r="L76" s="17" t="s">
        <v>224</v>
      </c>
      <c r="M76" s="17"/>
      <c r="N76" s="17"/>
      <c r="O76" s="17"/>
      <c r="P76" s="17"/>
      <c r="Q76" s="33" t="n">
        <v>0.18</v>
      </c>
      <c r="R76" s="34" t="n">
        <f aca="false">(F76*Q76)</f>
        <v>0.18</v>
      </c>
      <c r="S76" s="33" t="n">
        <v>0.102</v>
      </c>
      <c r="T76" s="35" t="n">
        <f aca="false">(F76*S76)</f>
        <v>0.102</v>
      </c>
      <c r="U76" s="17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/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  <c r="HD76" s="36"/>
      <c r="HE76" s="36"/>
      <c r="HF76" s="36"/>
      <c r="HG76" s="36"/>
      <c r="HH76" s="36"/>
      <c r="HI76" s="36"/>
      <c r="HJ76" s="36"/>
      <c r="HK76" s="36"/>
      <c r="HL76" s="36"/>
      <c r="HM76" s="36"/>
      <c r="HN76" s="36"/>
      <c r="HO76" s="36"/>
      <c r="HP76" s="36"/>
      <c r="HQ76" s="36"/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/>
      <c r="IN76" s="36"/>
      <c r="IO76" s="36"/>
      <c r="IP76" s="36"/>
      <c r="IQ76" s="36"/>
      <c r="IR76" s="36"/>
      <c r="IS76" s="36"/>
      <c r="IT76" s="36"/>
      <c r="IU76" s="36"/>
      <c r="IV76" s="36"/>
    </row>
    <row r="77" s="18" customFormat="true" ht="14.65" hidden="false" customHeight="false" outlineLevel="0" collapsed="false">
      <c r="A77" s="20"/>
      <c r="B77" s="20"/>
      <c r="C77" s="17"/>
      <c r="D77" s="22" t="s">
        <v>225</v>
      </c>
      <c r="E77" s="17" t="s">
        <v>226</v>
      </c>
      <c r="F77" s="20" t="n">
        <v>1</v>
      </c>
      <c r="G77" s="20" t="s">
        <v>22</v>
      </c>
      <c r="H77" s="20" t="s">
        <v>27</v>
      </c>
      <c r="I77" s="22" t="s">
        <v>194</v>
      </c>
      <c r="J77" s="22" t="s">
        <v>227</v>
      </c>
      <c r="K77" s="22" t="s">
        <v>32</v>
      </c>
      <c r="L77" s="22" t="s">
        <v>228</v>
      </c>
      <c r="M77" s="17"/>
      <c r="N77" s="17"/>
      <c r="O77" s="17"/>
      <c r="P77" s="17"/>
      <c r="Q77" s="15" t="n">
        <v>0</v>
      </c>
      <c r="R77" s="34" t="n">
        <f aca="false">(F77*Q77)</f>
        <v>0</v>
      </c>
      <c r="S77" s="15" t="n">
        <v>0.303</v>
      </c>
      <c r="T77" s="35" t="n">
        <f aca="false">(F77*S77)</f>
        <v>0.303</v>
      </c>
      <c r="U77" s="17"/>
    </row>
    <row r="78" s="18" customFormat="true" ht="14.65" hidden="false" customHeight="false" outlineLevel="0" collapsed="false">
      <c r="A78" s="20"/>
      <c r="B78" s="20"/>
      <c r="C78" s="17"/>
      <c r="D78" s="22" t="s">
        <v>229</v>
      </c>
      <c r="E78" s="17" t="s">
        <v>230</v>
      </c>
      <c r="F78" s="20" t="n">
        <v>1</v>
      </c>
      <c r="G78" s="20" t="s">
        <v>22</v>
      </c>
      <c r="H78" s="20" t="s">
        <v>27</v>
      </c>
      <c r="I78" s="22" t="s">
        <v>209</v>
      </c>
      <c r="J78" s="22" t="s">
        <v>231</v>
      </c>
      <c r="K78" s="22" t="s">
        <v>32</v>
      </c>
      <c r="L78" s="22" t="s">
        <v>232</v>
      </c>
      <c r="M78" s="17"/>
      <c r="N78" s="17"/>
      <c r="O78" s="17"/>
      <c r="P78" s="17"/>
      <c r="Q78" s="15" t="n">
        <v>0.1</v>
      </c>
      <c r="R78" s="34" t="n">
        <f aca="false">(F78*Q78)</f>
        <v>0.1</v>
      </c>
      <c r="S78" s="15" t="n">
        <v>0.051</v>
      </c>
      <c r="T78" s="35" t="n">
        <f aca="false">(F78*S78)</f>
        <v>0.051</v>
      </c>
      <c r="U78" s="17"/>
    </row>
    <row r="79" customFormat="false" ht="14.65" hidden="false" customHeight="false" outlineLevel="0" collapsed="false">
      <c r="A79" s="17"/>
      <c r="B79" s="17"/>
      <c r="C79" s="17"/>
      <c r="D79" s="17" t="s">
        <v>233</v>
      </c>
      <c r="E79" s="17" t="s">
        <v>234</v>
      </c>
      <c r="F79" s="32" t="n">
        <v>1</v>
      </c>
      <c r="G79" s="32" t="s">
        <v>22</v>
      </c>
      <c r="H79" s="32" t="s">
        <v>27</v>
      </c>
      <c r="I79" s="17" t="s">
        <v>235</v>
      </c>
      <c r="J79" s="17" t="s">
        <v>236</v>
      </c>
      <c r="K79" s="17" t="s">
        <v>32</v>
      </c>
      <c r="L79" s="17" t="s">
        <v>237</v>
      </c>
      <c r="M79" s="17"/>
      <c r="N79" s="17"/>
      <c r="O79" s="17"/>
      <c r="P79" s="17"/>
      <c r="Q79" s="33" t="n">
        <v>0.1</v>
      </c>
      <c r="R79" s="34" t="n">
        <f aca="false">(F79*Q79)</f>
        <v>0.1</v>
      </c>
      <c r="S79" s="33" t="n">
        <v>0.052</v>
      </c>
      <c r="T79" s="35" t="n">
        <f aca="false">(F79*S79)</f>
        <v>0.052</v>
      </c>
      <c r="U79" s="17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/>
      <c r="IR79" s="36"/>
      <c r="IS79" s="36"/>
      <c r="IT79" s="36"/>
      <c r="IU79" s="36"/>
      <c r="IV79" s="36"/>
    </row>
    <row r="80" s="18" customFormat="true" ht="14.65" hidden="false" customHeight="false" outlineLevel="0" collapsed="false">
      <c r="A80" s="20"/>
      <c r="B80" s="20"/>
      <c r="C80" s="17"/>
      <c r="D80" s="22" t="s">
        <v>238</v>
      </c>
      <c r="E80" s="17" t="s">
        <v>239</v>
      </c>
      <c r="F80" s="20" t="n">
        <v>2</v>
      </c>
      <c r="G80" s="20" t="s">
        <v>22</v>
      </c>
      <c r="H80" s="20" t="s">
        <v>27</v>
      </c>
      <c r="I80" s="22" t="s">
        <v>194</v>
      </c>
      <c r="J80" s="22" t="s">
        <v>240</v>
      </c>
      <c r="K80" s="22" t="s">
        <v>32</v>
      </c>
      <c r="L80" s="22" t="s">
        <v>241</v>
      </c>
      <c r="M80" s="17"/>
      <c r="N80" s="17"/>
      <c r="O80" s="17"/>
      <c r="P80" s="17"/>
      <c r="Q80" s="15" t="n">
        <v>0.1</v>
      </c>
      <c r="R80" s="34" t="n">
        <f aca="false">(F80*Q80)</f>
        <v>0.2</v>
      </c>
      <c r="S80" s="15" t="n">
        <v>0.054</v>
      </c>
      <c r="T80" s="35" t="n">
        <f aca="false">(F80*S80)</f>
        <v>0.108</v>
      </c>
      <c r="U80" s="17"/>
    </row>
    <row r="81" s="1" customFormat="true" ht="14.65" hidden="false" customHeight="false" outlineLevel="0" collapsed="false">
      <c r="A81" s="37"/>
      <c r="B81" s="37"/>
      <c r="C81" s="26"/>
      <c r="D81" s="17" t="s">
        <v>242</v>
      </c>
      <c r="E81" s="17" t="s">
        <v>243</v>
      </c>
      <c r="F81" s="38" t="n">
        <v>1</v>
      </c>
      <c r="G81" s="38" t="s">
        <v>22</v>
      </c>
      <c r="H81" s="38" t="s">
        <v>27</v>
      </c>
      <c r="I81" s="40" t="s">
        <v>204</v>
      </c>
      <c r="J81" s="22" t="s">
        <v>244</v>
      </c>
      <c r="K81" s="22" t="s">
        <v>32</v>
      </c>
      <c r="L81" s="17" t="s">
        <v>245</v>
      </c>
      <c r="M81" s="7"/>
      <c r="N81" s="7"/>
      <c r="O81" s="7"/>
      <c r="P81" s="7"/>
      <c r="Q81" s="34" t="n">
        <v>1.32</v>
      </c>
      <c r="R81" s="34" t="n">
        <f aca="false">(F81*Q81)</f>
        <v>1.32</v>
      </c>
      <c r="S81" s="34" t="n">
        <v>0.829</v>
      </c>
      <c r="T81" s="35" t="n">
        <f aca="false">(F81*S81)</f>
        <v>0.829</v>
      </c>
      <c r="U81" s="39"/>
    </row>
    <row r="82" s="18" customFormat="true" ht="14.65" hidden="false" customHeight="false" outlineLevel="0" collapsed="false">
      <c r="A82" s="20"/>
      <c r="B82" s="20"/>
      <c r="C82" s="17"/>
      <c r="D82" s="22" t="s">
        <v>246</v>
      </c>
      <c r="E82" s="17" t="s">
        <v>247</v>
      </c>
      <c r="F82" s="20" t="n">
        <v>1</v>
      </c>
      <c r="G82" s="20" t="s">
        <v>22</v>
      </c>
      <c r="H82" s="20" t="s">
        <v>27</v>
      </c>
      <c r="I82" s="22" t="s">
        <v>189</v>
      </c>
      <c r="J82" s="22" t="s">
        <v>248</v>
      </c>
      <c r="K82" s="22" t="s">
        <v>32</v>
      </c>
      <c r="L82" s="22" t="s">
        <v>249</v>
      </c>
      <c r="M82" s="17"/>
      <c r="N82" s="17"/>
      <c r="O82" s="17"/>
      <c r="P82" s="17"/>
      <c r="Q82" s="15" t="n">
        <v>0.19</v>
      </c>
      <c r="R82" s="34" t="n">
        <f aca="false">(F82*Q82)</f>
        <v>0.19</v>
      </c>
      <c r="S82" s="15" t="n">
        <v>0.106</v>
      </c>
      <c r="T82" s="35" t="n">
        <f aca="false">(F82*S82)</f>
        <v>0.106</v>
      </c>
      <c r="U82" s="17"/>
    </row>
    <row r="83" customFormat="false" ht="14.65" hidden="false" customHeight="false" outlineLevel="0" collapsed="false">
      <c r="A83" s="17"/>
      <c r="B83" s="17"/>
      <c r="C83" s="17"/>
      <c r="D83" s="17" t="s">
        <v>250</v>
      </c>
      <c r="E83" s="17" t="s">
        <v>251</v>
      </c>
      <c r="F83" s="32" t="n">
        <v>2</v>
      </c>
      <c r="G83" s="32" t="s">
        <v>22</v>
      </c>
      <c r="H83" s="32" t="s">
        <v>27</v>
      </c>
      <c r="I83" s="22" t="s">
        <v>189</v>
      </c>
      <c r="J83" s="17" t="s">
        <v>252</v>
      </c>
      <c r="K83" s="17" t="s">
        <v>32</v>
      </c>
      <c r="L83" s="17" t="s">
        <v>253</v>
      </c>
      <c r="M83" s="17"/>
      <c r="N83" s="17"/>
      <c r="O83" s="17"/>
      <c r="P83" s="17"/>
      <c r="Q83" s="33" t="n">
        <v>0.11</v>
      </c>
      <c r="R83" s="34" t="n">
        <f aca="false">(F83*Q83)</f>
        <v>0.22</v>
      </c>
      <c r="S83" s="33" t="n">
        <v>0.062</v>
      </c>
      <c r="T83" s="35" t="n">
        <f aca="false">(F83*S83)</f>
        <v>0.124</v>
      </c>
      <c r="U83" s="17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36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/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/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</row>
    <row r="84" s="18" customFormat="true" ht="14.65" hidden="false" customHeight="false" outlineLevel="0" collapsed="false">
      <c r="A84" s="20"/>
      <c r="B84" s="20"/>
      <c r="C84" s="17"/>
      <c r="D84" s="22" t="s">
        <v>254</v>
      </c>
      <c r="E84" s="17" t="s">
        <v>255</v>
      </c>
      <c r="F84" s="20" t="n">
        <v>1</v>
      </c>
      <c r="G84" s="20" t="s">
        <v>22</v>
      </c>
      <c r="H84" s="20" t="s">
        <v>27</v>
      </c>
      <c r="I84" s="22" t="s">
        <v>204</v>
      </c>
      <c r="J84" s="22" t="s">
        <v>256</v>
      </c>
      <c r="K84" s="22" t="s">
        <v>32</v>
      </c>
      <c r="L84" s="22" t="s">
        <v>257</v>
      </c>
      <c r="M84" s="17"/>
      <c r="N84" s="17"/>
      <c r="O84" s="17"/>
      <c r="P84" s="17"/>
      <c r="Q84" s="15" t="n">
        <v>0.36</v>
      </c>
      <c r="R84" s="34" t="n">
        <f aca="false">(F84*Q84)</f>
        <v>0.36</v>
      </c>
      <c r="S84" s="15" t="n">
        <v>0.213</v>
      </c>
      <c r="T84" s="35" t="n">
        <f aca="false">(F84*S84)</f>
        <v>0.213</v>
      </c>
      <c r="U84" s="17"/>
    </row>
    <row r="85" s="18" customFormat="true" ht="14.65" hidden="false" customHeight="false" outlineLevel="0" collapsed="false">
      <c r="A85" s="20"/>
      <c r="B85" s="20"/>
      <c r="C85" s="17"/>
      <c r="D85" s="22" t="s">
        <v>258</v>
      </c>
      <c r="E85" s="17" t="s">
        <v>259</v>
      </c>
      <c r="F85" s="20" t="n">
        <v>1</v>
      </c>
      <c r="G85" s="20" t="s">
        <v>22</v>
      </c>
      <c r="H85" s="20" t="s">
        <v>27</v>
      </c>
      <c r="I85" s="22" t="s">
        <v>199</v>
      </c>
      <c r="J85" s="22" t="s">
        <v>260</v>
      </c>
      <c r="K85" s="22" t="s">
        <v>32</v>
      </c>
      <c r="L85" s="22" t="s">
        <v>261</v>
      </c>
      <c r="M85" s="17"/>
      <c r="N85" s="17"/>
      <c r="O85" s="17"/>
      <c r="P85" s="17"/>
      <c r="Q85" s="15" t="n">
        <v>0.1</v>
      </c>
      <c r="R85" s="34" t="n">
        <f aca="false">(F85*Q85)</f>
        <v>0.1</v>
      </c>
      <c r="S85" s="15" t="n">
        <v>0.056</v>
      </c>
      <c r="T85" s="35" t="n">
        <f aca="false">(F85*S85)</f>
        <v>0.056</v>
      </c>
      <c r="U85" s="17"/>
    </row>
    <row r="86" s="18" customFormat="true" ht="14.65" hidden="false" customHeight="false" outlineLevel="0" collapsed="false">
      <c r="A86" s="20"/>
      <c r="B86" s="20"/>
      <c r="C86" s="17"/>
      <c r="D86" s="22" t="s">
        <v>262</v>
      </c>
      <c r="E86" s="17" t="s">
        <v>263</v>
      </c>
      <c r="F86" s="20" t="n">
        <v>1</v>
      </c>
      <c r="G86" s="20" t="s">
        <v>22</v>
      </c>
      <c r="H86" s="20" t="s">
        <v>27</v>
      </c>
      <c r="I86" s="22" t="s">
        <v>209</v>
      </c>
      <c r="J86" s="22" t="s">
        <v>264</v>
      </c>
      <c r="K86" s="22" t="s">
        <v>32</v>
      </c>
      <c r="L86" s="22" t="s">
        <v>265</v>
      </c>
      <c r="M86" s="17"/>
      <c r="N86" s="17"/>
      <c r="O86" s="17"/>
      <c r="P86" s="17"/>
      <c r="Q86" s="15" t="n">
        <v>0.11</v>
      </c>
      <c r="R86" s="34" t="n">
        <f aca="false">(F86*Q86)</f>
        <v>0.11</v>
      </c>
      <c r="S86" s="15" t="n">
        <v>0.062</v>
      </c>
      <c r="T86" s="35" t="n">
        <f aca="false">(F86*S86)</f>
        <v>0.062</v>
      </c>
      <c r="U86" s="17"/>
    </row>
    <row r="87" s="18" customFormat="true" ht="14.65" hidden="false" customHeight="false" outlineLevel="0" collapsed="false">
      <c r="A87" s="20"/>
      <c r="B87" s="20"/>
      <c r="C87" s="17"/>
      <c r="D87" s="22" t="s">
        <v>266</v>
      </c>
      <c r="E87" s="17" t="s">
        <v>267</v>
      </c>
      <c r="F87" s="20" t="n">
        <v>1</v>
      </c>
      <c r="G87" s="20" t="s">
        <v>22</v>
      </c>
      <c r="H87" s="20" t="s">
        <v>27</v>
      </c>
      <c r="I87" s="22" t="s">
        <v>194</v>
      </c>
      <c r="J87" s="22" t="s">
        <v>268</v>
      </c>
      <c r="K87" s="22" t="s">
        <v>32</v>
      </c>
      <c r="L87" s="22" t="s">
        <v>269</v>
      </c>
      <c r="M87" s="17" t="s">
        <v>204</v>
      </c>
      <c r="N87" s="17" t="s">
        <v>270</v>
      </c>
      <c r="O87" s="17"/>
      <c r="P87" s="17"/>
      <c r="Q87" s="15" t="n">
        <v>0.53</v>
      </c>
      <c r="R87" s="34" t="n">
        <f aca="false">(F87*Q87)</f>
        <v>0.53</v>
      </c>
      <c r="S87" s="15" t="n">
        <v>0.327</v>
      </c>
      <c r="T87" s="35" t="n">
        <f aca="false">(F87*S87)</f>
        <v>0.327</v>
      </c>
      <c r="U87" s="17"/>
    </row>
    <row r="88" customFormat="false" ht="14.65" hidden="false" customHeight="false" outlineLevel="0" collapsed="false">
      <c r="A88" s="17"/>
      <c r="B88" s="17"/>
      <c r="C88" s="17"/>
      <c r="D88" s="17" t="s">
        <v>271</v>
      </c>
      <c r="E88" s="17" t="s">
        <v>272</v>
      </c>
      <c r="F88" s="32" t="n">
        <v>4</v>
      </c>
      <c r="G88" s="32" t="s">
        <v>22</v>
      </c>
      <c r="H88" s="32" t="s">
        <v>27</v>
      </c>
      <c r="I88" s="17" t="s">
        <v>273</v>
      </c>
      <c r="J88" s="17" t="s">
        <v>274</v>
      </c>
      <c r="K88" s="17" t="s">
        <v>32</v>
      </c>
      <c r="L88" s="17" t="s">
        <v>275</v>
      </c>
      <c r="M88" s="17"/>
      <c r="N88" s="17"/>
      <c r="O88" s="17"/>
      <c r="P88" s="17"/>
      <c r="Q88" s="33" t="n">
        <v>0.15</v>
      </c>
      <c r="R88" s="34" t="n">
        <f aca="false">(F88*Q88)</f>
        <v>0.6</v>
      </c>
      <c r="S88" s="33" t="n">
        <v>0.105</v>
      </c>
      <c r="T88" s="35" t="n">
        <f aca="false">(F88*S88)</f>
        <v>0.42</v>
      </c>
      <c r="U88" s="17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</row>
    <row r="89" customFormat="false" ht="14.65" hidden="false" customHeight="false" outlineLevel="0" collapsed="false">
      <c r="A89" s="17"/>
      <c r="B89" s="17"/>
      <c r="C89" s="17"/>
      <c r="D89" s="17" t="s">
        <v>276</v>
      </c>
      <c r="E89" s="17" t="s">
        <v>277</v>
      </c>
      <c r="F89" s="32" t="n">
        <v>2</v>
      </c>
      <c r="G89" s="32" t="s">
        <v>22</v>
      </c>
      <c r="H89" s="32" t="s">
        <v>27</v>
      </c>
      <c r="I89" s="43" t="s">
        <v>278</v>
      </c>
      <c r="J89" s="43" t="s">
        <v>279</v>
      </c>
      <c r="K89" s="43" t="s">
        <v>32</v>
      </c>
      <c r="L89" s="30" t="s">
        <v>280</v>
      </c>
      <c r="M89" s="7"/>
      <c r="N89" s="7"/>
      <c r="O89" s="7"/>
      <c r="P89" s="7"/>
      <c r="Q89" s="34" t="n">
        <v>0.1</v>
      </c>
      <c r="R89" s="34" t="n">
        <f aca="false">(F89*Q89)</f>
        <v>0.2</v>
      </c>
      <c r="S89" s="34" t="n">
        <v>0.055</v>
      </c>
      <c r="T89" s="35" t="n">
        <f aca="false">(F89*S89)</f>
        <v>0.11</v>
      </c>
      <c r="U89" s="17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/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/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</row>
    <row r="90" customFormat="false" ht="14.65" hidden="false" customHeight="false" outlineLevel="0" collapsed="false">
      <c r="A90" s="17"/>
      <c r="B90" s="17"/>
      <c r="C90" s="17"/>
      <c r="D90" s="17" t="s">
        <v>281</v>
      </c>
      <c r="E90" s="17" t="s">
        <v>282</v>
      </c>
      <c r="F90" s="32" t="n">
        <v>2</v>
      </c>
      <c r="G90" s="32" t="s">
        <v>22</v>
      </c>
      <c r="H90" s="32" t="s">
        <v>27</v>
      </c>
      <c r="I90" s="17" t="s">
        <v>283</v>
      </c>
      <c r="J90" s="17" t="s">
        <v>284</v>
      </c>
      <c r="K90" s="17" t="s">
        <v>32</v>
      </c>
      <c r="L90" s="17" t="s">
        <v>285</v>
      </c>
      <c r="M90" s="17" t="s">
        <v>286</v>
      </c>
      <c r="N90" s="17" t="s">
        <v>287</v>
      </c>
      <c r="O90" s="17"/>
      <c r="P90" s="17"/>
      <c r="Q90" s="33" t="n">
        <v>0.1</v>
      </c>
      <c r="R90" s="34" t="n">
        <f aca="false">(F90*Q90)</f>
        <v>0.2</v>
      </c>
      <c r="S90" s="33" t="n">
        <v>0.062</v>
      </c>
      <c r="T90" s="35" t="n">
        <f aca="false">(F90*S90)</f>
        <v>0.124</v>
      </c>
      <c r="U90" s="17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/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</row>
    <row r="91" customFormat="false" ht="14.65" hidden="false" customHeight="false" outlineLevel="0" collapsed="false">
      <c r="A91" s="17"/>
      <c r="B91" s="17"/>
      <c r="C91" s="17"/>
      <c r="D91" s="17" t="s">
        <v>288</v>
      </c>
      <c r="E91" s="17" t="s">
        <v>289</v>
      </c>
      <c r="F91" s="32" t="n">
        <v>1</v>
      </c>
      <c r="G91" s="32" t="s">
        <v>22</v>
      </c>
      <c r="H91" s="32" t="s">
        <v>27</v>
      </c>
      <c r="I91" s="17" t="s">
        <v>278</v>
      </c>
      <c r="J91" s="17" t="s">
        <v>290</v>
      </c>
      <c r="K91" s="17" t="s">
        <v>32</v>
      </c>
      <c r="L91" s="17" t="s">
        <v>291</v>
      </c>
      <c r="M91" s="22" t="s">
        <v>292</v>
      </c>
      <c r="N91" s="17" t="s">
        <v>293</v>
      </c>
      <c r="O91" s="17" t="s">
        <v>209</v>
      </c>
      <c r="P91" s="17" t="s">
        <v>294</v>
      </c>
      <c r="Q91" s="33" t="n">
        <v>0.11</v>
      </c>
      <c r="R91" s="34" t="n">
        <f aca="false">(F91*Q91)</f>
        <v>0.11</v>
      </c>
      <c r="S91" s="33" t="n">
        <v>0.086</v>
      </c>
      <c r="T91" s="35" t="n">
        <f aca="false">(F91*S91)</f>
        <v>0.086</v>
      </c>
      <c r="U91" s="17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</row>
    <row r="92" s="47" customFormat="true" ht="23.85" hidden="false" customHeight="false" outlineLevel="0" collapsed="false">
      <c r="A92" s="45"/>
      <c r="B92" s="45"/>
      <c r="C92" s="30"/>
      <c r="D92" s="41" t="s">
        <v>295</v>
      </c>
      <c r="E92" s="30" t="s">
        <v>296</v>
      </c>
      <c r="F92" s="45" t="n">
        <v>8</v>
      </c>
      <c r="G92" s="45" t="s">
        <v>22</v>
      </c>
      <c r="H92" s="45" t="s">
        <v>27</v>
      </c>
      <c r="I92" s="41" t="s">
        <v>278</v>
      </c>
      <c r="J92" s="41" t="s">
        <v>297</v>
      </c>
      <c r="K92" s="41" t="s">
        <v>32</v>
      </c>
      <c r="L92" s="41" t="s">
        <v>298</v>
      </c>
      <c r="M92" s="30"/>
      <c r="N92" s="30"/>
      <c r="O92" s="30"/>
      <c r="P92" s="30"/>
      <c r="Q92" s="46" t="n">
        <v>0.1</v>
      </c>
      <c r="R92" s="34" t="n">
        <f aca="false">(F92*Q92)</f>
        <v>0.8</v>
      </c>
      <c r="S92" s="46" t="n">
        <v>0.063</v>
      </c>
      <c r="T92" s="35" t="n">
        <f aca="false">(F92*S92)</f>
        <v>0.504</v>
      </c>
      <c r="U92" s="30"/>
    </row>
    <row r="93" s="1" customFormat="true" ht="14.4" hidden="false" customHeight="true" outlineLevel="0" collapsed="false">
      <c r="A93" s="37"/>
      <c r="B93" s="37"/>
      <c r="C93" s="26"/>
      <c r="D93" s="41" t="s">
        <v>299</v>
      </c>
      <c r="E93" s="30" t="s">
        <v>300</v>
      </c>
      <c r="F93" s="38" t="n">
        <v>2</v>
      </c>
      <c r="G93" s="42" t="s">
        <v>22</v>
      </c>
      <c r="H93" s="42" t="s">
        <v>27</v>
      </c>
      <c r="I93" s="41" t="s">
        <v>273</v>
      </c>
      <c r="J93" s="41" t="s">
        <v>301</v>
      </c>
      <c r="K93" s="48" t="s">
        <v>32</v>
      </c>
      <c r="L93" s="30" t="s">
        <v>302</v>
      </c>
      <c r="M93" s="49"/>
      <c r="N93" s="7"/>
      <c r="O93" s="7"/>
      <c r="P93" s="7"/>
      <c r="Q93" s="50" t="n">
        <v>0.1</v>
      </c>
      <c r="R93" s="50" t="n">
        <f aca="false">(F93*Q93)</f>
        <v>0.2</v>
      </c>
      <c r="S93" s="50" t="n">
        <v>0.061</v>
      </c>
      <c r="T93" s="51" t="n">
        <f aca="false">(F93*S93)</f>
        <v>0.122</v>
      </c>
      <c r="U93" s="52"/>
    </row>
    <row r="94" s="18" customFormat="true" ht="14.65" hidden="false" customHeight="false" outlineLevel="0" collapsed="false">
      <c r="A94" s="20"/>
      <c r="B94" s="20"/>
      <c r="C94" s="17"/>
      <c r="D94" s="22" t="s">
        <v>303</v>
      </c>
      <c r="E94" s="17" t="s">
        <v>304</v>
      </c>
      <c r="F94" s="20" t="n">
        <v>3</v>
      </c>
      <c r="G94" s="20" t="s">
        <v>22</v>
      </c>
      <c r="H94" s="20" t="s">
        <v>27</v>
      </c>
      <c r="I94" s="22" t="s">
        <v>283</v>
      </c>
      <c r="J94" s="22" t="s">
        <v>305</v>
      </c>
      <c r="K94" s="22" t="s">
        <v>32</v>
      </c>
      <c r="L94" s="22" t="s">
        <v>306</v>
      </c>
      <c r="M94" s="17"/>
      <c r="N94" s="17"/>
      <c r="O94" s="17"/>
      <c r="P94" s="17"/>
      <c r="Q94" s="15" t="n">
        <v>0.1</v>
      </c>
      <c r="R94" s="50" t="n">
        <f aca="false">(F94*Q94)</f>
        <v>0.3</v>
      </c>
      <c r="S94" s="15" t="n">
        <v>0.06</v>
      </c>
      <c r="T94" s="51" t="n">
        <f aca="false">(F94*S94)</f>
        <v>0.18</v>
      </c>
      <c r="U94" s="17"/>
    </row>
    <row r="95" customFormat="false" ht="14.65" hidden="false" customHeight="false" outlineLevel="0" collapsed="false">
      <c r="A95" s="17"/>
      <c r="B95" s="17"/>
      <c r="C95" s="17"/>
      <c r="D95" s="17" t="s">
        <v>307</v>
      </c>
      <c r="E95" s="17" t="s">
        <v>308</v>
      </c>
      <c r="F95" s="32" t="n">
        <v>1</v>
      </c>
      <c r="G95" s="32" t="s">
        <v>22</v>
      </c>
      <c r="H95" s="32" t="s">
        <v>27</v>
      </c>
      <c r="I95" s="17" t="s">
        <v>309</v>
      </c>
      <c r="J95" s="17" t="s">
        <v>310</v>
      </c>
      <c r="K95" s="17" t="s">
        <v>32</v>
      </c>
      <c r="L95" s="17" t="s">
        <v>311</v>
      </c>
      <c r="M95" s="17" t="s">
        <v>309</v>
      </c>
      <c r="N95" s="17" t="s">
        <v>312</v>
      </c>
      <c r="O95" s="17"/>
      <c r="P95" s="17"/>
      <c r="Q95" s="33" t="n">
        <v>1.17</v>
      </c>
      <c r="R95" s="50" t="n">
        <f aca="false">(F95*Q95)</f>
        <v>1.17</v>
      </c>
      <c r="S95" s="33" t="n">
        <v>0.734</v>
      </c>
      <c r="T95" s="51" t="n">
        <f aca="false">(F95*S95)</f>
        <v>0.734</v>
      </c>
      <c r="U95" s="17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/>
      <c r="FW95" s="36"/>
      <c r="FX95" s="36"/>
      <c r="FY95" s="36"/>
      <c r="FZ95" s="36"/>
      <c r="GA95" s="36"/>
      <c r="GB95" s="36"/>
      <c r="GC95" s="36"/>
      <c r="GD95" s="36"/>
      <c r="GE95" s="36"/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</row>
    <row r="96" s="18" customFormat="true" ht="14.65" hidden="false" customHeight="false" outlineLevel="0" collapsed="false">
      <c r="A96" s="20"/>
      <c r="B96" s="20"/>
      <c r="C96" s="17"/>
      <c r="D96" s="22" t="s">
        <v>313</v>
      </c>
      <c r="E96" s="17" t="s">
        <v>314</v>
      </c>
      <c r="F96" s="20" t="n">
        <v>1</v>
      </c>
      <c r="G96" s="20" t="s">
        <v>22</v>
      </c>
      <c r="H96" s="20" t="s">
        <v>27</v>
      </c>
      <c r="I96" s="22" t="s">
        <v>315</v>
      </c>
      <c r="J96" s="22" t="s">
        <v>316</v>
      </c>
      <c r="K96" s="22" t="s">
        <v>32</v>
      </c>
      <c r="L96" s="22" t="s">
        <v>317</v>
      </c>
      <c r="M96" s="17" t="s">
        <v>286</v>
      </c>
      <c r="N96" s="17" t="s">
        <v>318</v>
      </c>
      <c r="O96" s="17" t="s">
        <v>319</v>
      </c>
      <c r="P96" s="17" t="s">
        <v>320</v>
      </c>
      <c r="Q96" s="15" t="n">
        <v>0.3</v>
      </c>
      <c r="R96" s="50" t="n">
        <f aca="false">(F96*Q96)</f>
        <v>0.3</v>
      </c>
      <c r="S96" s="15" t="n">
        <v>0.181</v>
      </c>
      <c r="T96" s="51" t="n">
        <f aca="false">(F96*S96)</f>
        <v>0.181</v>
      </c>
      <c r="U96" s="17" t="s">
        <v>321</v>
      </c>
    </row>
    <row r="97" s="18" customFormat="true" ht="14.65" hidden="false" customHeight="false" outlineLevel="0" collapsed="false">
      <c r="A97" s="20"/>
      <c r="B97" s="20"/>
      <c r="C97" s="17"/>
      <c r="D97" s="22" t="s">
        <v>322</v>
      </c>
      <c r="E97" s="17" t="s">
        <v>323</v>
      </c>
      <c r="F97" s="20" t="n">
        <v>0</v>
      </c>
      <c r="G97" s="20" t="s">
        <v>22</v>
      </c>
      <c r="H97" s="20" t="s">
        <v>27</v>
      </c>
      <c r="I97" s="22" t="s">
        <v>81</v>
      </c>
      <c r="J97" s="22" t="s">
        <v>324</v>
      </c>
      <c r="K97" s="22" t="s">
        <v>32</v>
      </c>
      <c r="L97" s="22" t="s">
        <v>325</v>
      </c>
      <c r="M97" s="17"/>
      <c r="N97" s="17"/>
      <c r="O97" s="17"/>
      <c r="P97" s="17"/>
      <c r="Q97" s="15" t="n">
        <v>0.44</v>
      </c>
      <c r="R97" s="50" t="n">
        <f aca="false">(F97*Q97)</f>
        <v>0</v>
      </c>
      <c r="S97" s="15" t="n">
        <v>0.44</v>
      </c>
      <c r="T97" s="51" t="n">
        <f aca="false">(F97*S97)</f>
        <v>0</v>
      </c>
      <c r="U97" s="17" t="s">
        <v>326</v>
      </c>
    </row>
    <row r="98" s="18" customFormat="true" ht="14.65" hidden="false" customHeight="false" outlineLevel="0" collapsed="false">
      <c r="A98" s="20"/>
      <c r="B98" s="20"/>
      <c r="C98" s="17"/>
      <c r="D98" s="22" t="s">
        <v>327</v>
      </c>
      <c r="E98" s="17" t="s">
        <v>328</v>
      </c>
      <c r="F98" s="20" t="n">
        <v>1</v>
      </c>
      <c r="G98" s="20" t="s">
        <v>22</v>
      </c>
      <c r="H98" s="20" t="s">
        <v>27</v>
      </c>
      <c r="I98" s="22" t="s">
        <v>146</v>
      </c>
      <c r="J98" s="22" t="s">
        <v>329</v>
      </c>
      <c r="K98" s="22" t="s">
        <v>330</v>
      </c>
      <c r="L98" s="22" t="s">
        <v>331</v>
      </c>
      <c r="M98" s="17"/>
      <c r="N98" s="17"/>
      <c r="O98" s="17"/>
      <c r="P98" s="17"/>
      <c r="Q98" s="15" t="n">
        <v>0.56</v>
      </c>
      <c r="R98" s="50" t="n">
        <f aca="false">(F98*Q98)</f>
        <v>0.56</v>
      </c>
      <c r="S98" s="15" t="n">
        <v>0.475</v>
      </c>
      <c r="T98" s="51" t="n">
        <f aca="false">(F98*S98)</f>
        <v>0.475</v>
      </c>
      <c r="U98" s="17"/>
    </row>
    <row r="99" s="18" customFormat="true" ht="14.65" hidden="false" customHeight="false" outlineLevel="0" collapsed="false">
      <c r="A99" s="20"/>
      <c r="B99" s="20"/>
      <c r="C99" s="17"/>
      <c r="D99" s="22" t="s">
        <v>332</v>
      </c>
      <c r="E99" s="17" t="s">
        <v>333</v>
      </c>
      <c r="F99" s="20" t="n">
        <v>2</v>
      </c>
      <c r="G99" s="20" t="s">
        <v>22</v>
      </c>
      <c r="H99" s="20" t="s">
        <v>27</v>
      </c>
      <c r="I99" s="22" t="s">
        <v>146</v>
      </c>
      <c r="J99" s="22" t="s">
        <v>334</v>
      </c>
      <c r="K99" s="22" t="s">
        <v>32</v>
      </c>
      <c r="L99" s="22" t="s">
        <v>335</v>
      </c>
      <c r="M99" s="17"/>
      <c r="N99" s="17"/>
      <c r="O99" s="17"/>
      <c r="P99" s="17"/>
      <c r="Q99" s="15" t="n">
        <v>0.4</v>
      </c>
      <c r="R99" s="50" t="n">
        <f aca="false">(F99*Q99)</f>
        <v>0.8</v>
      </c>
      <c r="S99" s="15" t="n">
        <v>0.342</v>
      </c>
      <c r="T99" s="51" t="n">
        <f aca="false">(F99*S99)</f>
        <v>0.684</v>
      </c>
      <c r="U99" s="17"/>
    </row>
    <row r="100" s="18" customFormat="true" ht="14.65" hidden="false" customHeight="false" outlineLevel="0" collapsed="false">
      <c r="A100" s="20"/>
      <c r="B100" s="20"/>
      <c r="C100" s="17"/>
      <c r="D100" s="22" t="s">
        <v>336</v>
      </c>
      <c r="E100" s="17" t="s">
        <v>337</v>
      </c>
      <c r="F100" s="20" t="n">
        <v>1</v>
      </c>
      <c r="G100" s="20" t="s">
        <v>22</v>
      </c>
      <c r="H100" s="20" t="s">
        <v>27</v>
      </c>
      <c r="I100" s="22" t="s">
        <v>146</v>
      </c>
      <c r="J100" s="22" t="s">
        <v>338</v>
      </c>
      <c r="K100" s="22" t="s">
        <v>32</v>
      </c>
      <c r="L100" s="22" t="s">
        <v>339</v>
      </c>
      <c r="M100" s="17"/>
      <c r="N100" s="17"/>
      <c r="O100" s="17"/>
      <c r="P100" s="17"/>
      <c r="Q100" s="15" t="n">
        <v>0.19</v>
      </c>
      <c r="R100" s="50" t="n">
        <f aca="false">(F100*Q100)</f>
        <v>0.19</v>
      </c>
      <c r="S100" s="15" t="n">
        <v>0.163</v>
      </c>
      <c r="T100" s="51" t="n">
        <f aca="false">(F100*S100)</f>
        <v>0.163</v>
      </c>
      <c r="U100" s="17"/>
    </row>
    <row r="101" s="18" customFormat="true" ht="14.65" hidden="false" customHeight="false" outlineLevel="0" collapsed="false">
      <c r="A101" s="20"/>
      <c r="B101" s="20"/>
      <c r="C101" s="17"/>
      <c r="D101" s="22" t="s">
        <v>340</v>
      </c>
      <c r="E101" s="17" t="s">
        <v>341</v>
      </c>
      <c r="F101" s="20" t="n">
        <v>1</v>
      </c>
      <c r="G101" s="20" t="s">
        <v>22</v>
      </c>
      <c r="H101" s="20" t="s">
        <v>27</v>
      </c>
      <c r="I101" s="22" t="s">
        <v>146</v>
      </c>
      <c r="J101" s="22" t="s">
        <v>342</v>
      </c>
      <c r="K101" s="22" t="s">
        <v>32</v>
      </c>
      <c r="L101" s="22" t="s">
        <v>343</v>
      </c>
      <c r="M101" s="17"/>
      <c r="N101" s="17"/>
      <c r="O101" s="17"/>
      <c r="P101" s="17"/>
      <c r="Q101" s="15" t="n">
        <v>0.42</v>
      </c>
      <c r="R101" s="50" t="n">
        <f aca="false">(F101*Q101)</f>
        <v>0.42</v>
      </c>
      <c r="S101" s="15" t="n">
        <v>0.357</v>
      </c>
      <c r="T101" s="51" t="n">
        <f aca="false">(F101*S101)</f>
        <v>0.357</v>
      </c>
      <c r="U101" s="17"/>
    </row>
    <row r="102" s="18" customFormat="true" ht="14.65" hidden="false" customHeight="false" outlineLevel="0" collapsed="false">
      <c r="A102" s="20"/>
      <c r="B102" s="20"/>
      <c r="C102" s="17"/>
      <c r="D102" s="22" t="s">
        <v>344</v>
      </c>
      <c r="E102" s="17" t="s">
        <v>345</v>
      </c>
      <c r="F102" s="20" t="n">
        <v>1</v>
      </c>
      <c r="G102" s="20" t="s">
        <v>22</v>
      </c>
      <c r="H102" s="20" t="s">
        <v>27</v>
      </c>
      <c r="I102" s="22" t="s">
        <v>346</v>
      </c>
      <c r="J102" s="22" t="s">
        <v>347</v>
      </c>
      <c r="K102" s="22" t="s">
        <v>32</v>
      </c>
      <c r="L102" s="22" t="s">
        <v>348</v>
      </c>
      <c r="M102" s="17"/>
      <c r="N102" s="17"/>
      <c r="O102" s="17"/>
      <c r="P102" s="17"/>
      <c r="Q102" s="15" t="n">
        <v>0.56</v>
      </c>
      <c r="R102" s="50" t="n">
        <f aca="false">(F102*Q102)</f>
        <v>0.56</v>
      </c>
      <c r="S102" s="15" t="n">
        <v>0.56</v>
      </c>
      <c r="T102" s="51" t="n">
        <f aca="false">(F102*S102)</f>
        <v>0.56</v>
      </c>
      <c r="U102" s="17"/>
    </row>
    <row r="103" s="18" customFormat="true" ht="14.65" hidden="false" customHeight="false" outlineLevel="0" collapsed="false">
      <c r="A103" s="20"/>
      <c r="B103" s="20"/>
      <c r="C103" s="17"/>
      <c r="D103" s="22" t="s">
        <v>349</v>
      </c>
      <c r="E103" s="17" t="s">
        <v>350</v>
      </c>
      <c r="F103" s="20" t="n">
        <v>2</v>
      </c>
      <c r="G103" s="20" t="s">
        <v>22</v>
      </c>
      <c r="H103" s="20" t="s">
        <v>27</v>
      </c>
      <c r="I103" s="22" t="s">
        <v>351</v>
      </c>
      <c r="J103" s="22" t="s">
        <v>352</v>
      </c>
      <c r="K103" s="22" t="s">
        <v>32</v>
      </c>
      <c r="L103" s="22" t="s">
        <v>353</v>
      </c>
      <c r="M103" s="17"/>
      <c r="N103" s="17"/>
      <c r="O103" s="17"/>
      <c r="P103" s="17"/>
      <c r="Q103" s="15" t="n">
        <v>0.64</v>
      </c>
      <c r="R103" s="50" t="n">
        <f aca="false">(F103*Q103)</f>
        <v>1.28</v>
      </c>
      <c r="S103" s="15" t="n">
        <v>0.526</v>
      </c>
      <c r="T103" s="51" t="n">
        <f aca="false">(F103*S103)</f>
        <v>1.052</v>
      </c>
      <c r="U103" s="17"/>
    </row>
    <row r="104" s="18" customFormat="true" ht="14.65" hidden="false" customHeight="false" outlineLevel="0" collapsed="false">
      <c r="A104" s="20"/>
      <c r="B104" s="20"/>
      <c r="C104" s="17"/>
      <c r="D104" s="22" t="s">
        <v>354</v>
      </c>
      <c r="E104" s="17" t="s">
        <v>355</v>
      </c>
      <c r="F104" s="20" t="n">
        <v>1</v>
      </c>
      <c r="G104" s="20" t="s">
        <v>22</v>
      </c>
      <c r="H104" s="20" t="s">
        <v>27</v>
      </c>
      <c r="I104" s="22" t="s">
        <v>356</v>
      </c>
      <c r="J104" s="22" t="s">
        <v>357</v>
      </c>
      <c r="K104" s="22" t="s">
        <v>32</v>
      </c>
      <c r="L104" s="22" t="s">
        <v>358</v>
      </c>
      <c r="M104" s="17" t="s">
        <v>359</v>
      </c>
      <c r="N104" s="17" t="s">
        <v>360</v>
      </c>
      <c r="O104" s="17" t="s">
        <v>361</v>
      </c>
      <c r="P104" s="17" t="n">
        <v>74404054150</v>
      </c>
      <c r="Q104" s="15" t="n">
        <v>0.41</v>
      </c>
      <c r="R104" s="50" t="n">
        <f aca="false">(F104*Q104)</f>
        <v>0.41</v>
      </c>
      <c r="S104" s="15" t="n">
        <v>0.334</v>
      </c>
      <c r="T104" s="51" t="n">
        <f aca="false">(F104*S104)</f>
        <v>0.334</v>
      </c>
      <c r="U104" s="17"/>
    </row>
    <row r="105" customFormat="false" ht="14.65" hidden="false" customHeight="false" outlineLevel="0" collapsed="false">
      <c r="A105" s="17"/>
      <c r="B105" s="17"/>
      <c r="C105" s="17"/>
      <c r="D105" s="17" t="s">
        <v>362</v>
      </c>
      <c r="E105" s="17" t="s">
        <v>363</v>
      </c>
      <c r="F105" s="32" t="n">
        <v>4</v>
      </c>
      <c r="G105" s="32" t="s">
        <v>22</v>
      </c>
      <c r="H105" s="32" t="s">
        <v>27</v>
      </c>
      <c r="I105" s="22" t="s">
        <v>292</v>
      </c>
      <c r="J105" s="17" t="s">
        <v>364</v>
      </c>
      <c r="K105" s="17" t="s">
        <v>32</v>
      </c>
      <c r="L105" s="17" t="s">
        <v>365</v>
      </c>
      <c r="M105" s="17" t="s">
        <v>283</v>
      </c>
      <c r="N105" s="17" t="s">
        <v>366</v>
      </c>
      <c r="O105" s="22" t="s">
        <v>367</v>
      </c>
      <c r="P105" s="17" t="s">
        <v>368</v>
      </c>
      <c r="Q105" s="33" t="n">
        <v>0.12</v>
      </c>
      <c r="R105" s="50" t="n">
        <f aca="false">(F105*Q105)</f>
        <v>0.48</v>
      </c>
      <c r="S105" s="33" t="n">
        <v>0.072</v>
      </c>
      <c r="T105" s="51" t="n">
        <f aca="false">(F105*S105)</f>
        <v>0.288</v>
      </c>
      <c r="U105" s="17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</row>
    <row r="106" s="18" customFormat="true" ht="14.65" hidden="false" customHeight="false" outlineLevel="0" collapsed="false">
      <c r="A106" s="20"/>
      <c r="B106" s="20"/>
      <c r="C106" s="17"/>
      <c r="D106" s="22" t="s">
        <v>369</v>
      </c>
      <c r="E106" s="17" t="s">
        <v>370</v>
      </c>
      <c r="F106" s="20" t="n">
        <v>4</v>
      </c>
      <c r="G106" s="20" t="s">
        <v>22</v>
      </c>
      <c r="H106" s="20" t="s">
        <v>27</v>
      </c>
      <c r="I106" s="22" t="s">
        <v>292</v>
      </c>
      <c r="J106" s="22" t="s">
        <v>371</v>
      </c>
      <c r="K106" s="22" t="s">
        <v>32</v>
      </c>
      <c r="L106" s="22" t="s">
        <v>372</v>
      </c>
      <c r="M106" s="22" t="s">
        <v>373</v>
      </c>
      <c r="N106" s="17" t="s">
        <v>374</v>
      </c>
      <c r="O106" s="17" t="s">
        <v>286</v>
      </c>
      <c r="P106" s="17" t="s">
        <v>375</v>
      </c>
      <c r="Q106" s="15" t="n">
        <v>0.12</v>
      </c>
      <c r="R106" s="50" t="n">
        <f aca="false">(F106*Q106)</f>
        <v>0.48</v>
      </c>
      <c r="S106" s="15" t="n">
        <v>0.072</v>
      </c>
      <c r="T106" s="51" t="n">
        <f aca="false">(F106*S106)</f>
        <v>0.288</v>
      </c>
      <c r="U106" s="17"/>
    </row>
    <row r="107" s="18" customFormat="true" ht="14.65" hidden="false" customHeight="false" outlineLevel="0" collapsed="false">
      <c r="A107" s="20"/>
      <c r="B107" s="20"/>
      <c r="C107" s="17"/>
      <c r="D107" s="22" t="s">
        <v>376</v>
      </c>
      <c r="E107" s="17" t="s">
        <v>377</v>
      </c>
      <c r="F107" s="20" t="n">
        <v>1</v>
      </c>
      <c r="G107" s="20" t="s">
        <v>22</v>
      </c>
      <c r="H107" s="20" t="s">
        <v>27</v>
      </c>
      <c r="I107" s="22" t="s">
        <v>367</v>
      </c>
      <c r="J107" s="22" t="s">
        <v>378</v>
      </c>
      <c r="K107" s="22" t="s">
        <v>32</v>
      </c>
      <c r="L107" s="22" t="s">
        <v>379</v>
      </c>
      <c r="M107" s="17"/>
      <c r="N107" s="17"/>
      <c r="O107" s="17"/>
      <c r="P107" s="17"/>
      <c r="Q107" s="15" t="n">
        <v>0.25</v>
      </c>
      <c r="R107" s="50" t="n">
        <f aca="false">(F107*Q107)</f>
        <v>0.25</v>
      </c>
      <c r="S107" s="15" t="n">
        <v>0.153</v>
      </c>
      <c r="T107" s="51" t="n">
        <f aca="false">(F107*S107)</f>
        <v>0.153</v>
      </c>
      <c r="U107" s="17"/>
    </row>
    <row r="108" customFormat="false" ht="14.65" hidden="false" customHeight="false" outlineLevel="0" collapsed="false">
      <c r="A108" s="17"/>
      <c r="B108" s="17"/>
      <c r="C108" s="17"/>
      <c r="D108" s="17" t="s">
        <v>380</v>
      </c>
      <c r="E108" s="17" t="s">
        <v>381</v>
      </c>
      <c r="F108" s="32" t="n">
        <v>2</v>
      </c>
      <c r="G108" s="32" t="s">
        <v>22</v>
      </c>
      <c r="H108" s="32" t="s">
        <v>27</v>
      </c>
      <c r="I108" s="17" t="s">
        <v>283</v>
      </c>
      <c r="J108" s="17" t="s">
        <v>382</v>
      </c>
      <c r="K108" s="17" t="s">
        <v>32</v>
      </c>
      <c r="L108" s="17" t="s">
        <v>383</v>
      </c>
      <c r="M108" s="17"/>
      <c r="N108" s="17"/>
      <c r="O108" s="17"/>
      <c r="P108" s="17"/>
      <c r="Q108" s="33" t="n">
        <v>0.17</v>
      </c>
      <c r="R108" s="34" t="n">
        <f aca="false">(F108*Q108)</f>
        <v>0.34</v>
      </c>
      <c r="S108" s="33" t="n">
        <v>0.102</v>
      </c>
      <c r="T108" s="35" t="n">
        <f aca="false">(F108*S108)</f>
        <v>0.204</v>
      </c>
      <c r="U108" s="17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</row>
    <row r="109" customFormat="false" ht="14.65" hidden="false" customHeight="false" outlineLevel="0" collapsed="false">
      <c r="A109" s="17"/>
      <c r="B109" s="17"/>
      <c r="C109" s="17"/>
      <c r="D109" s="17" t="s">
        <v>384</v>
      </c>
      <c r="E109" s="17" t="s">
        <v>385</v>
      </c>
      <c r="F109" s="32" t="n">
        <v>2</v>
      </c>
      <c r="G109" s="32" t="s">
        <v>22</v>
      </c>
      <c r="H109" s="32" t="s">
        <v>27</v>
      </c>
      <c r="I109" s="17" t="s">
        <v>283</v>
      </c>
      <c r="J109" s="17" t="s">
        <v>386</v>
      </c>
      <c r="K109" s="17" t="s">
        <v>32</v>
      </c>
      <c r="L109" s="17" t="s">
        <v>387</v>
      </c>
      <c r="M109" s="17"/>
      <c r="N109" s="17"/>
      <c r="O109" s="17"/>
      <c r="P109" s="17"/>
      <c r="Q109" s="33" t="n">
        <v>0.19</v>
      </c>
      <c r="R109" s="34" t="n">
        <f aca="false">(F109*Q109)</f>
        <v>0.38</v>
      </c>
      <c r="S109" s="33" t="n">
        <v>0.118</v>
      </c>
      <c r="T109" s="35" t="n">
        <f aca="false">(F109*S109)</f>
        <v>0.236</v>
      </c>
      <c r="U109" s="17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</row>
    <row r="110" customFormat="false" ht="14.65" hidden="false" customHeight="false" outlineLevel="0" collapsed="false">
      <c r="A110" s="17"/>
      <c r="B110" s="17"/>
      <c r="C110" s="17"/>
      <c r="D110" s="17" t="s">
        <v>388</v>
      </c>
      <c r="E110" s="17" t="s">
        <v>389</v>
      </c>
      <c r="F110" s="32" t="n">
        <v>1</v>
      </c>
      <c r="G110" s="32" t="s">
        <v>22</v>
      </c>
      <c r="H110" s="32" t="s">
        <v>27</v>
      </c>
      <c r="I110" s="17" t="s">
        <v>283</v>
      </c>
      <c r="J110" s="17" t="s">
        <v>390</v>
      </c>
      <c r="K110" s="17" t="s">
        <v>32</v>
      </c>
      <c r="L110" s="17" t="s">
        <v>391</v>
      </c>
      <c r="M110" s="17" t="s">
        <v>315</v>
      </c>
      <c r="N110" s="17" t="s">
        <v>392</v>
      </c>
      <c r="O110" s="22" t="s">
        <v>393</v>
      </c>
      <c r="P110" s="17" t="s">
        <v>394</v>
      </c>
      <c r="Q110" s="33" t="n">
        <v>0.44</v>
      </c>
      <c r="R110" s="34" t="n">
        <f aca="false">(F110*Q110)</f>
        <v>0.44</v>
      </c>
      <c r="S110" s="33" t="n">
        <v>0.272</v>
      </c>
      <c r="T110" s="35" t="n">
        <f aca="false">(F110*S110)</f>
        <v>0.272</v>
      </c>
      <c r="U110" s="17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</row>
    <row r="111" s="18" customFormat="true" ht="14.65" hidden="false" customHeight="false" outlineLevel="0" collapsed="false">
      <c r="A111" s="8"/>
      <c r="B111" s="8"/>
      <c r="C111" s="10"/>
      <c r="D111" s="22" t="s">
        <v>395</v>
      </c>
      <c r="E111" s="30" t="s">
        <v>396</v>
      </c>
      <c r="F111" s="20" t="n">
        <v>1</v>
      </c>
      <c r="G111" s="20" t="s">
        <v>22</v>
      </c>
      <c r="H111" s="20" t="s">
        <v>27</v>
      </c>
      <c r="I111" s="22" t="s">
        <v>397</v>
      </c>
      <c r="J111" s="22" t="s">
        <v>398</v>
      </c>
      <c r="K111" s="53" t="s">
        <v>32</v>
      </c>
      <c r="L111" s="17" t="s">
        <v>399</v>
      </c>
      <c r="M111" s="54"/>
      <c r="N111" s="17"/>
      <c r="O111" s="17"/>
      <c r="P111" s="17"/>
      <c r="Q111" s="55" t="n">
        <v>0.11</v>
      </c>
      <c r="R111" s="55" t="n">
        <f aca="false">(F111*Q111)</f>
        <v>0.11</v>
      </c>
      <c r="S111" s="55" t="n">
        <v>0.01</v>
      </c>
      <c r="T111" s="56" t="n">
        <f aca="false">(F111*S111)</f>
        <v>0.01</v>
      </c>
      <c r="U111" s="57"/>
    </row>
    <row r="112" s="18" customFormat="true" ht="14.65" hidden="false" customHeight="false" outlineLevel="0" collapsed="false">
      <c r="A112" s="20"/>
      <c r="B112" s="20"/>
      <c r="C112" s="17"/>
      <c r="D112" s="22" t="s">
        <v>400</v>
      </c>
      <c r="E112" s="17" t="s">
        <v>401</v>
      </c>
      <c r="F112" s="20" t="n">
        <v>2</v>
      </c>
      <c r="G112" s="20" t="s">
        <v>22</v>
      </c>
      <c r="H112" s="20" t="s">
        <v>27</v>
      </c>
      <c r="I112" s="22" t="s">
        <v>397</v>
      </c>
      <c r="J112" s="22" t="s">
        <v>402</v>
      </c>
      <c r="K112" s="22" t="s">
        <v>32</v>
      </c>
      <c r="L112" s="22" t="s">
        <v>403</v>
      </c>
      <c r="M112" s="17"/>
      <c r="N112" s="17"/>
      <c r="O112" s="17"/>
      <c r="P112" s="17"/>
      <c r="Q112" s="15" t="n">
        <v>0.1</v>
      </c>
      <c r="R112" s="55" t="n">
        <f aca="false">(F112*Q112)</f>
        <v>0.2</v>
      </c>
      <c r="S112" s="15" t="n">
        <v>0.008</v>
      </c>
      <c r="T112" s="56" t="n">
        <f aca="false">(F112*S112)</f>
        <v>0.016</v>
      </c>
      <c r="U112" s="17"/>
    </row>
    <row r="113" s="18" customFormat="true" ht="14.65" hidden="false" customHeight="false" outlineLevel="0" collapsed="false">
      <c r="A113" s="20"/>
      <c r="B113" s="20"/>
      <c r="C113" s="17"/>
      <c r="D113" s="22" t="s">
        <v>404</v>
      </c>
      <c r="E113" s="17" t="s">
        <v>405</v>
      </c>
      <c r="F113" s="20" t="n">
        <v>2</v>
      </c>
      <c r="G113" s="20" t="s">
        <v>22</v>
      </c>
      <c r="H113" s="20" t="s">
        <v>27</v>
      </c>
      <c r="I113" s="22" t="s">
        <v>406</v>
      </c>
      <c r="J113" s="22" t="s">
        <v>407</v>
      </c>
      <c r="K113" s="22" t="s">
        <v>32</v>
      </c>
      <c r="L113" s="22" t="s">
        <v>408</v>
      </c>
      <c r="M113" s="17" t="s">
        <v>409</v>
      </c>
      <c r="N113" s="17" t="s">
        <v>410</v>
      </c>
      <c r="O113" s="17"/>
      <c r="P113" s="17"/>
      <c r="Q113" s="15" t="n">
        <v>0.6</v>
      </c>
      <c r="R113" s="55" t="n">
        <f aca="false">(F113*Q113)</f>
        <v>1.2</v>
      </c>
      <c r="S113" s="15" t="n">
        <v>0.35</v>
      </c>
      <c r="T113" s="56" t="n">
        <f aca="false">(F113*S113)</f>
        <v>0.7</v>
      </c>
      <c r="U113" s="17"/>
    </row>
    <row r="114" s="18" customFormat="true" ht="14.65" hidden="false" customHeight="false" outlineLevel="0" collapsed="false">
      <c r="A114" s="20"/>
      <c r="B114" s="20"/>
      <c r="C114" s="17"/>
      <c r="D114" s="22" t="s">
        <v>411</v>
      </c>
      <c r="E114" s="17" t="s">
        <v>412</v>
      </c>
      <c r="F114" s="20" t="n">
        <v>1</v>
      </c>
      <c r="G114" s="20" t="s">
        <v>22</v>
      </c>
      <c r="H114" s="20" t="s">
        <v>27</v>
      </c>
      <c r="I114" s="22" t="s">
        <v>397</v>
      </c>
      <c r="J114" s="22" t="s">
        <v>413</v>
      </c>
      <c r="K114" s="22" t="s">
        <v>32</v>
      </c>
      <c r="L114" s="22" t="s">
        <v>414</v>
      </c>
      <c r="M114" s="17"/>
      <c r="N114" s="17"/>
      <c r="O114" s="17"/>
      <c r="P114" s="17"/>
      <c r="Q114" s="15" t="n">
        <v>0.1</v>
      </c>
      <c r="R114" s="15"/>
      <c r="S114" s="15" t="n">
        <v>0.014</v>
      </c>
      <c r="T114" s="16"/>
      <c r="U114" s="17"/>
    </row>
    <row r="115" s="18" customFormat="true" ht="29.85" hidden="false" customHeight="true" outlineLevel="0" collapsed="false">
      <c r="A115" s="8"/>
      <c r="B115" s="8"/>
      <c r="C115" s="10"/>
      <c r="D115" s="22" t="s">
        <v>415</v>
      </c>
      <c r="E115" s="30" t="s">
        <v>416</v>
      </c>
      <c r="F115" s="20" t="n">
        <v>6</v>
      </c>
      <c r="G115" s="20" t="s">
        <v>22</v>
      </c>
      <c r="H115" s="20" t="s">
        <v>27</v>
      </c>
      <c r="I115" s="22" t="s">
        <v>397</v>
      </c>
      <c r="J115" s="22" t="s">
        <v>417</v>
      </c>
      <c r="K115" s="53" t="s">
        <v>32</v>
      </c>
      <c r="L115" s="17" t="s">
        <v>418</v>
      </c>
      <c r="M115" s="54"/>
      <c r="N115" s="17"/>
      <c r="O115" s="17"/>
      <c r="P115" s="17"/>
      <c r="Q115" s="55" t="n">
        <v>0.11</v>
      </c>
      <c r="R115" s="55" t="n">
        <f aca="false">(F115*Q115)</f>
        <v>0.66</v>
      </c>
      <c r="S115" s="55" t="n">
        <v>0.009</v>
      </c>
      <c r="T115" s="56" t="n">
        <f aca="false">(F115*S115)</f>
        <v>0.054</v>
      </c>
      <c r="U115" s="58"/>
    </row>
    <row r="116" s="18" customFormat="true" ht="29.15" hidden="false" customHeight="true" outlineLevel="0" collapsed="false">
      <c r="A116" s="8"/>
      <c r="B116" s="8"/>
      <c r="C116" s="10"/>
      <c r="D116" s="22" t="s">
        <v>419</v>
      </c>
      <c r="E116" s="30" t="s">
        <v>420</v>
      </c>
      <c r="F116" s="20" t="n">
        <v>7</v>
      </c>
      <c r="G116" s="20" t="s">
        <v>22</v>
      </c>
      <c r="H116" s="20" t="s">
        <v>27</v>
      </c>
      <c r="I116" s="22" t="s">
        <v>397</v>
      </c>
      <c r="J116" s="22" t="s">
        <v>421</v>
      </c>
      <c r="K116" s="53" t="s">
        <v>32</v>
      </c>
      <c r="L116" s="17" t="s">
        <v>422</v>
      </c>
      <c r="M116" s="54"/>
      <c r="N116" s="17"/>
      <c r="O116" s="17"/>
      <c r="P116" s="17"/>
      <c r="Q116" s="55" t="n">
        <v>0.1</v>
      </c>
      <c r="R116" s="55" t="n">
        <f aca="false">(F116*Q116)</f>
        <v>0.7</v>
      </c>
      <c r="S116" s="55" t="n">
        <v>0.016</v>
      </c>
      <c r="T116" s="56" t="n">
        <f aca="false">(F116*S116)</f>
        <v>0.112</v>
      </c>
      <c r="U116" s="58"/>
    </row>
    <row r="117" s="18" customFormat="true" ht="30.5" hidden="false" customHeight="true" outlineLevel="0" collapsed="false">
      <c r="A117" s="8"/>
      <c r="B117" s="8"/>
      <c r="C117" s="10"/>
      <c r="D117" s="22" t="s">
        <v>423</v>
      </c>
      <c r="E117" s="30" t="s">
        <v>424</v>
      </c>
      <c r="F117" s="20" t="n">
        <v>6</v>
      </c>
      <c r="G117" s="20" t="s">
        <v>22</v>
      </c>
      <c r="H117" s="20" t="s">
        <v>27</v>
      </c>
      <c r="I117" s="22" t="s">
        <v>397</v>
      </c>
      <c r="J117" s="22" t="s">
        <v>425</v>
      </c>
      <c r="K117" s="53" t="s">
        <v>32</v>
      </c>
      <c r="L117" s="17" t="s">
        <v>426</v>
      </c>
      <c r="M117" s="54"/>
      <c r="N117" s="17"/>
      <c r="O117" s="17"/>
      <c r="P117" s="17"/>
      <c r="Q117" s="55" t="n">
        <v>0.12</v>
      </c>
      <c r="R117" s="55" t="n">
        <f aca="false">(F117*Q117)</f>
        <v>0.72</v>
      </c>
      <c r="S117" s="55" t="n">
        <v>0.012</v>
      </c>
      <c r="T117" s="56" t="n">
        <f aca="false">(F117*S117)</f>
        <v>0.072</v>
      </c>
      <c r="U117" s="58"/>
    </row>
    <row r="118" s="18" customFormat="true" ht="14.65" hidden="false" customHeight="false" outlineLevel="0" collapsed="false">
      <c r="A118" s="8"/>
      <c r="B118" s="8"/>
      <c r="C118" s="10"/>
      <c r="D118" s="22" t="s">
        <v>427</v>
      </c>
      <c r="E118" s="30" t="s">
        <v>428</v>
      </c>
      <c r="F118" s="20" t="n">
        <v>4</v>
      </c>
      <c r="G118" s="20" t="s">
        <v>22</v>
      </c>
      <c r="H118" s="20" t="s">
        <v>27</v>
      </c>
      <c r="I118" s="22" t="s">
        <v>397</v>
      </c>
      <c r="J118" s="22" t="s">
        <v>429</v>
      </c>
      <c r="K118" s="53" t="s">
        <v>32</v>
      </c>
      <c r="L118" s="17" t="s">
        <v>430</v>
      </c>
      <c r="M118" s="54"/>
      <c r="N118" s="17"/>
      <c r="O118" s="17"/>
      <c r="P118" s="17"/>
      <c r="Q118" s="55" t="n">
        <v>0.11</v>
      </c>
      <c r="R118" s="55" t="n">
        <f aca="false">(F118*Q118)</f>
        <v>0.44</v>
      </c>
      <c r="S118" s="55" t="n">
        <v>0.009</v>
      </c>
      <c r="T118" s="56" t="n">
        <f aca="false">(F118*S118)</f>
        <v>0.036</v>
      </c>
      <c r="U118" s="57"/>
    </row>
    <row r="119" s="18" customFormat="true" ht="14.65" hidden="false" customHeight="false" outlineLevel="0" collapsed="false">
      <c r="A119" s="8"/>
      <c r="B119" s="8"/>
      <c r="C119" s="10"/>
      <c r="D119" s="22" t="s">
        <v>431</v>
      </c>
      <c r="E119" s="30" t="s">
        <v>432</v>
      </c>
      <c r="F119" s="20" t="n">
        <v>2</v>
      </c>
      <c r="G119" s="20" t="s">
        <v>22</v>
      </c>
      <c r="H119" s="20" t="s">
        <v>27</v>
      </c>
      <c r="I119" s="22" t="s">
        <v>397</v>
      </c>
      <c r="J119" s="22" t="s">
        <v>433</v>
      </c>
      <c r="K119" s="53" t="s">
        <v>32</v>
      </c>
      <c r="L119" s="17" t="s">
        <v>434</v>
      </c>
      <c r="M119" s="54"/>
      <c r="N119" s="17"/>
      <c r="O119" s="17"/>
      <c r="P119" s="17"/>
      <c r="Q119" s="55" t="n">
        <v>0.1</v>
      </c>
      <c r="R119" s="55" t="n">
        <f aca="false">(F119*Q119)</f>
        <v>0.2</v>
      </c>
      <c r="S119" s="55" t="n">
        <v>0.0072</v>
      </c>
      <c r="T119" s="56" t="n">
        <f aca="false">(F119*S119)</f>
        <v>0.0144</v>
      </c>
      <c r="U119" s="58"/>
    </row>
    <row r="120" s="18" customFormat="true" ht="14.65" hidden="false" customHeight="false" outlineLevel="0" collapsed="false">
      <c r="A120" s="8"/>
      <c r="B120" s="8"/>
      <c r="C120" s="10"/>
      <c r="D120" s="22" t="s">
        <v>435</v>
      </c>
      <c r="E120" s="30" t="s">
        <v>436</v>
      </c>
      <c r="F120" s="20" t="n">
        <v>4</v>
      </c>
      <c r="G120" s="20" t="s">
        <v>22</v>
      </c>
      <c r="H120" s="20" t="s">
        <v>27</v>
      </c>
      <c r="I120" s="22" t="s">
        <v>397</v>
      </c>
      <c r="J120" s="22" t="s">
        <v>437</v>
      </c>
      <c r="K120" s="53" t="s">
        <v>32</v>
      </c>
      <c r="L120" s="17" t="s">
        <v>438</v>
      </c>
      <c r="M120" s="54"/>
      <c r="N120" s="17"/>
      <c r="O120" s="17"/>
      <c r="P120" s="17"/>
      <c r="Q120" s="55" t="n">
        <v>0.1</v>
      </c>
      <c r="R120" s="55" t="n">
        <f aca="false">(F120*Q120)</f>
        <v>0.4</v>
      </c>
      <c r="S120" s="55" t="n">
        <v>0.009</v>
      </c>
      <c r="T120" s="56" t="n">
        <f aca="false">(F120*S120)</f>
        <v>0.036</v>
      </c>
      <c r="U120" s="57"/>
    </row>
    <row r="121" s="18" customFormat="true" ht="14.65" hidden="false" customHeight="false" outlineLevel="0" collapsed="false">
      <c r="A121" s="8"/>
      <c r="B121" s="8"/>
      <c r="C121" s="10"/>
      <c r="D121" s="22" t="s">
        <v>439</v>
      </c>
      <c r="E121" s="30" t="s">
        <v>440</v>
      </c>
      <c r="F121" s="20" t="n">
        <v>2</v>
      </c>
      <c r="G121" s="20" t="s">
        <v>22</v>
      </c>
      <c r="H121" s="20" t="s">
        <v>27</v>
      </c>
      <c r="I121" s="22" t="s">
        <v>209</v>
      </c>
      <c r="J121" s="22" t="s">
        <v>441</v>
      </c>
      <c r="K121" s="53" t="s">
        <v>32</v>
      </c>
      <c r="L121" s="17" t="s">
        <v>442</v>
      </c>
      <c r="M121" s="54"/>
      <c r="N121" s="17"/>
      <c r="O121" s="17"/>
      <c r="P121" s="17"/>
      <c r="Q121" s="55" t="n">
        <v>0.1</v>
      </c>
      <c r="R121" s="55" t="n">
        <f aca="false">(F121*Q121)</f>
        <v>0.2</v>
      </c>
      <c r="S121" s="55" t="n">
        <v>0.03</v>
      </c>
      <c r="T121" s="56" t="n">
        <f aca="false">(F121*S121)</f>
        <v>0.06</v>
      </c>
      <c r="U121" s="57"/>
    </row>
    <row r="122" s="18" customFormat="true" ht="14.65" hidden="false" customHeight="false" outlineLevel="0" collapsed="false">
      <c r="A122" s="8"/>
      <c r="B122" s="8"/>
      <c r="C122" s="10"/>
      <c r="D122" s="22" t="s">
        <v>443</v>
      </c>
      <c r="E122" s="30" t="s">
        <v>444</v>
      </c>
      <c r="F122" s="20" t="n">
        <v>1</v>
      </c>
      <c r="G122" s="20" t="s">
        <v>22</v>
      </c>
      <c r="H122" s="20" t="s">
        <v>27</v>
      </c>
      <c r="I122" s="22" t="s">
        <v>397</v>
      </c>
      <c r="J122" s="22" t="s">
        <v>445</v>
      </c>
      <c r="K122" s="53" t="s">
        <v>32</v>
      </c>
      <c r="L122" s="17" t="s">
        <v>446</v>
      </c>
      <c r="M122" s="54"/>
      <c r="N122" s="17"/>
      <c r="O122" s="17"/>
      <c r="P122" s="17"/>
      <c r="Q122" s="55" t="n">
        <v>0.1</v>
      </c>
      <c r="R122" s="55" t="n">
        <f aca="false">(F122*Q122)</f>
        <v>0.1</v>
      </c>
      <c r="S122" s="55" t="n">
        <v>0.015</v>
      </c>
      <c r="T122" s="56" t="n">
        <f aca="false">(F122*S122)</f>
        <v>0.015</v>
      </c>
      <c r="U122" s="57"/>
    </row>
    <row r="123" s="18" customFormat="true" ht="14.65" hidden="false" customHeight="false" outlineLevel="0" collapsed="false">
      <c r="A123" s="8"/>
      <c r="B123" s="8"/>
      <c r="C123" s="10"/>
      <c r="D123" s="22" t="s">
        <v>447</v>
      </c>
      <c r="E123" s="30" t="s">
        <v>448</v>
      </c>
      <c r="F123" s="20" t="n">
        <v>1</v>
      </c>
      <c r="G123" s="20" t="s">
        <v>22</v>
      </c>
      <c r="H123" s="20" t="s">
        <v>27</v>
      </c>
      <c r="I123" s="22" t="s">
        <v>397</v>
      </c>
      <c r="J123" s="22" t="s">
        <v>449</v>
      </c>
      <c r="K123" s="53" t="s">
        <v>32</v>
      </c>
      <c r="L123" s="17" t="s">
        <v>450</v>
      </c>
      <c r="M123" s="54"/>
      <c r="N123" s="17"/>
      <c r="O123" s="17"/>
      <c r="P123" s="17"/>
      <c r="Q123" s="55" t="n">
        <v>0.11</v>
      </c>
      <c r="R123" s="55" t="n">
        <f aca="false">(F123*Q123)</f>
        <v>0.11</v>
      </c>
      <c r="S123" s="55" t="n">
        <v>0.011</v>
      </c>
      <c r="T123" s="56" t="n">
        <f aca="false">(F123*S123)</f>
        <v>0.011</v>
      </c>
      <c r="U123" s="57"/>
    </row>
    <row r="124" s="18" customFormat="true" ht="14.65" hidden="false" customHeight="false" outlineLevel="0" collapsed="false">
      <c r="A124" s="8"/>
      <c r="B124" s="8"/>
      <c r="C124" s="10"/>
      <c r="D124" s="22" t="s">
        <v>451</v>
      </c>
      <c r="E124" s="30" t="s">
        <v>452</v>
      </c>
      <c r="F124" s="20" t="n">
        <v>1</v>
      </c>
      <c r="G124" s="20" t="s">
        <v>22</v>
      </c>
      <c r="H124" s="20" t="s">
        <v>27</v>
      </c>
      <c r="I124" s="22" t="s">
        <v>397</v>
      </c>
      <c r="J124" s="22" t="s">
        <v>453</v>
      </c>
      <c r="K124" s="53" t="s">
        <v>32</v>
      </c>
      <c r="L124" s="17" t="s">
        <v>454</v>
      </c>
      <c r="M124" s="54"/>
      <c r="N124" s="17"/>
      <c r="O124" s="17"/>
      <c r="P124" s="17"/>
      <c r="Q124" s="55" t="n">
        <v>0.1</v>
      </c>
      <c r="R124" s="55" t="n">
        <f aca="false">(F124*Q124)</f>
        <v>0.1</v>
      </c>
      <c r="S124" s="55" t="n">
        <v>0.008</v>
      </c>
      <c r="T124" s="56" t="n">
        <f aca="false">(F124*S124)</f>
        <v>0.008</v>
      </c>
      <c r="U124" s="58"/>
    </row>
    <row r="125" s="18" customFormat="true" ht="29.85" hidden="false" customHeight="true" outlineLevel="0" collapsed="false">
      <c r="A125" s="8"/>
      <c r="B125" s="8"/>
      <c r="C125" s="10"/>
      <c r="D125" s="22" t="s">
        <v>455</v>
      </c>
      <c r="E125" s="30" t="s">
        <v>456</v>
      </c>
      <c r="F125" s="20" t="n">
        <v>8</v>
      </c>
      <c r="G125" s="20" t="s">
        <v>22</v>
      </c>
      <c r="H125" s="20" t="s">
        <v>27</v>
      </c>
      <c r="I125" s="22" t="s">
        <v>397</v>
      </c>
      <c r="J125" s="22" t="s">
        <v>457</v>
      </c>
      <c r="K125" s="53" t="s">
        <v>32</v>
      </c>
      <c r="L125" s="17" t="s">
        <v>458</v>
      </c>
      <c r="M125" s="54"/>
      <c r="N125" s="17"/>
      <c r="O125" s="17"/>
      <c r="P125" s="17"/>
      <c r="Q125" s="55" t="n">
        <v>0.1</v>
      </c>
      <c r="R125" s="55" t="n">
        <f aca="false">(F125*Q125)</f>
        <v>0.8</v>
      </c>
      <c r="S125" s="55" t="n">
        <v>0.01</v>
      </c>
      <c r="T125" s="56" t="n">
        <f aca="false">(F125*S125)</f>
        <v>0.08</v>
      </c>
      <c r="U125" s="58"/>
    </row>
    <row r="126" s="18" customFormat="true" ht="16.25" hidden="false" customHeight="true" outlineLevel="0" collapsed="false">
      <c r="A126" s="8"/>
      <c r="B126" s="8"/>
      <c r="C126" s="10"/>
      <c r="D126" s="22" t="s">
        <v>459</v>
      </c>
      <c r="E126" s="30" t="s">
        <v>460</v>
      </c>
      <c r="F126" s="20" t="n">
        <v>1</v>
      </c>
      <c r="G126" s="20" t="s">
        <v>22</v>
      </c>
      <c r="H126" s="20" t="s">
        <v>27</v>
      </c>
      <c r="I126" s="22" t="s">
        <v>397</v>
      </c>
      <c r="J126" s="22" t="s">
        <v>461</v>
      </c>
      <c r="K126" s="53" t="s">
        <v>32</v>
      </c>
      <c r="L126" s="17" t="s">
        <v>462</v>
      </c>
      <c r="M126" s="54"/>
      <c r="N126" s="17"/>
      <c r="O126" s="17"/>
      <c r="P126" s="17"/>
      <c r="Q126" s="55" t="n">
        <v>0.1</v>
      </c>
      <c r="R126" s="55" t="n">
        <f aca="false">(F126*Q126)</f>
        <v>0.1</v>
      </c>
      <c r="S126" s="55" t="n">
        <v>0.008</v>
      </c>
      <c r="T126" s="56" t="n">
        <f aca="false">(F126*S126)</f>
        <v>0.008</v>
      </c>
      <c r="U126" s="58"/>
    </row>
    <row r="127" s="18" customFormat="true" ht="14.65" hidden="false" customHeight="false" outlineLevel="0" collapsed="false">
      <c r="A127" s="8"/>
      <c r="B127" s="8"/>
      <c r="C127" s="10"/>
      <c r="D127" s="22" t="s">
        <v>463</v>
      </c>
      <c r="E127" s="30" t="s">
        <v>464</v>
      </c>
      <c r="F127" s="20" t="n">
        <v>5</v>
      </c>
      <c r="G127" s="20" t="s">
        <v>22</v>
      </c>
      <c r="H127" s="20" t="s">
        <v>27</v>
      </c>
      <c r="I127" s="22" t="s">
        <v>397</v>
      </c>
      <c r="J127" s="22" t="s">
        <v>465</v>
      </c>
      <c r="K127" s="53" t="s">
        <v>32</v>
      </c>
      <c r="L127" s="17" t="s">
        <v>466</v>
      </c>
      <c r="M127" s="54"/>
      <c r="N127" s="17"/>
      <c r="O127" s="17"/>
      <c r="P127" s="17"/>
      <c r="Q127" s="55" t="n">
        <v>0.11</v>
      </c>
      <c r="R127" s="55" t="n">
        <f aca="false">(F127*Q127)</f>
        <v>0.55</v>
      </c>
      <c r="S127" s="55" t="n">
        <v>0.012</v>
      </c>
      <c r="T127" s="56" t="n">
        <f aca="false">(F127*S127)</f>
        <v>0.06</v>
      </c>
      <c r="U127" s="57"/>
    </row>
    <row r="128" s="18" customFormat="true" ht="14.65" hidden="false" customHeight="false" outlineLevel="0" collapsed="false">
      <c r="A128" s="8"/>
      <c r="B128" s="8"/>
      <c r="C128" s="10"/>
      <c r="D128" s="22" t="s">
        <v>467</v>
      </c>
      <c r="E128" s="30" t="s">
        <v>468</v>
      </c>
      <c r="F128" s="20" t="n">
        <v>2</v>
      </c>
      <c r="G128" s="20" t="s">
        <v>22</v>
      </c>
      <c r="H128" s="20" t="s">
        <v>27</v>
      </c>
      <c r="I128" s="22" t="s">
        <v>469</v>
      </c>
      <c r="J128" s="22" t="s">
        <v>470</v>
      </c>
      <c r="K128" s="53" t="s">
        <v>32</v>
      </c>
      <c r="L128" s="17" t="s">
        <v>471</v>
      </c>
      <c r="M128" s="54"/>
      <c r="N128" s="17"/>
      <c r="O128" s="17"/>
      <c r="P128" s="17"/>
      <c r="Q128" s="55" t="n">
        <v>0.13</v>
      </c>
      <c r="R128" s="55" t="n">
        <f aca="false">(F128*Q128)</f>
        <v>0.26</v>
      </c>
      <c r="S128" s="55" t="n">
        <v>0.06</v>
      </c>
      <c r="T128" s="56" t="n">
        <f aca="false">(F128*S128)</f>
        <v>0.12</v>
      </c>
      <c r="U128" s="58"/>
    </row>
    <row r="129" s="18" customFormat="true" ht="16.25" hidden="false" customHeight="true" outlineLevel="0" collapsed="false">
      <c r="A129" s="8"/>
      <c r="B129" s="8"/>
      <c r="C129" s="10"/>
      <c r="D129" s="22" t="s">
        <v>472</v>
      </c>
      <c r="E129" s="30" t="s">
        <v>473</v>
      </c>
      <c r="F129" s="20" t="n">
        <v>1</v>
      </c>
      <c r="G129" s="20" t="s">
        <v>22</v>
      </c>
      <c r="H129" s="20" t="s">
        <v>27</v>
      </c>
      <c r="I129" s="22" t="s">
        <v>397</v>
      </c>
      <c r="J129" s="22" t="s">
        <v>474</v>
      </c>
      <c r="K129" s="53" t="s">
        <v>32</v>
      </c>
      <c r="L129" s="17" t="s">
        <v>475</v>
      </c>
      <c r="M129" s="54"/>
      <c r="N129" s="17"/>
      <c r="O129" s="17"/>
      <c r="P129" s="17"/>
      <c r="Q129" s="55" t="n">
        <v>0.14</v>
      </c>
      <c r="R129" s="55" t="n">
        <f aca="false">(F129*Q129)</f>
        <v>0.14</v>
      </c>
      <c r="S129" s="55" t="n">
        <v>0.013</v>
      </c>
      <c r="T129" s="56" t="n">
        <f aca="false">(F129*S129)</f>
        <v>0.013</v>
      </c>
      <c r="U129" s="58"/>
    </row>
    <row r="130" s="18" customFormat="true" ht="15.6" hidden="false" customHeight="true" outlineLevel="0" collapsed="false">
      <c r="A130" s="8"/>
      <c r="B130" s="8"/>
      <c r="C130" s="10"/>
      <c r="D130" s="22" t="s">
        <v>476</v>
      </c>
      <c r="E130" s="30" t="s">
        <v>477</v>
      </c>
      <c r="F130" s="20" t="n">
        <v>2</v>
      </c>
      <c r="G130" s="20" t="s">
        <v>22</v>
      </c>
      <c r="H130" s="20" t="s">
        <v>27</v>
      </c>
      <c r="I130" s="22" t="s">
        <v>397</v>
      </c>
      <c r="J130" s="22" t="s">
        <v>478</v>
      </c>
      <c r="K130" s="53" t="s">
        <v>32</v>
      </c>
      <c r="L130" s="17" t="s">
        <v>479</v>
      </c>
      <c r="M130" s="54"/>
      <c r="N130" s="17"/>
      <c r="O130" s="17"/>
      <c r="P130" s="17"/>
      <c r="Q130" s="55" t="n">
        <v>0.1</v>
      </c>
      <c r="R130" s="55" t="n">
        <f aca="false">(F130*Q130)</f>
        <v>0.2</v>
      </c>
      <c r="S130" s="55" t="n">
        <v>0.008</v>
      </c>
      <c r="T130" s="56" t="n">
        <f aca="false">(F130*S130)</f>
        <v>0.016</v>
      </c>
      <c r="U130" s="58"/>
    </row>
    <row r="131" s="18" customFormat="true" ht="14.65" hidden="false" customHeight="false" outlineLevel="0" collapsed="false">
      <c r="A131" s="8"/>
      <c r="B131" s="8"/>
      <c r="C131" s="10"/>
      <c r="D131" s="22" t="s">
        <v>480</v>
      </c>
      <c r="E131" s="30" t="s">
        <v>481</v>
      </c>
      <c r="F131" s="20" t="n">
        <v>2</v>
      </c>
      <c r="G131" s="20" t="s">
        <v>22</v>
      </c>
      <c r="H131" s="20" t="s">
        <v>27</v>
      </c>
      <c r="I131" s="22" t="s">
        <v>397</v>
      </c>
      <c r="J131" s="22" t="s">
        <v>482</v>
      </c>
      <c r="K131" s="53" t="s">
        <v>32</v>
      </c>
      <c r="L131" s="17" t="s">
        <v>483</v>
      </c>
      <c r="M131" s="54"/>
      <c r="N131" s="17"/>
      <c r="O131" s="17"/>
      <c r="P131" s="17"/>
      <c r="Q131" s="55" t="n">
        <v>0.1</v>
      </c>
      <c r="R131" s="55" t="n">
        <f aca="false">(F131*Q131)</f>
        <v>0.2</v>
      </c>
      <c r="S131" s="55" t="n">
        <v>0.009</v>
      </c>
      <c r="T131" s="56" t="n">
        <f aca="false">(F131*S131)</f>
        <v>0.018</v>
      </c>
      <c r="U131" s="57"/>
    </row>
    <row r="132" s="18" customFormat="true" ht="14.65" hidden="false" customHeight="false" outlineLevel="0" collapsed="false">
      <c r="A132" s="8"/>
      <c r="B132" s="8"/>
      <c r="C132" s="10"/>
      <c r="D132" s="22" t="s">
        <v>484</v>
      </c>
      <c r="E132" s="30" t="s">
        <v>485</v>
      </c>
      <c r="F132" s="20" t="n">
        <v>2</v>
      </c>
      <c r="G132" s="20" t="s">
        <v>22</v>
      </c>
      <c r="H132" s="20" t="s">
        <v>27</v>
      </c>
      <c r="I132" s="22" t="s">
        <v>397</v>
      </c>
      <c r="J132" s="22" t="s">
        <v>486</v>
      </c>
      <c r="K132" s="53" t="s">
        <v>32</v>
      </c>
      <c r="L132" s="17" t="s">
        <v>487</v>
      </c>
      <c r="M132" s="54"/>
      <c r="N132" s="17"/>
      <c r="O132" s="17"/>
      <c r="P132" s="17"/>
      <c r="Q132" s="55" t="n">
        <v>0.1</v>
      </c>
      <c r="R132" s="55" t="n">
        <f aca="false">(F132*Q132)</f>
        <v>0.2</v>
      </c>
      <c r="S132" s="55" t="n">
        <v>0.009</v>
      </c>
      <c r="T132" s="56" t="n">
        <f aca="false">(F132*S132)</f>
        <v>0.018</v>
      </c>
      <c r="U132" s="57"/>
    </row>
    <row r="133" s="18" customFormat="true" ht="14.65" hidden="false" customHeight="false" outlineLevel="0" collapsed="false">
      <c r="A133" s="8"/>
      <c r="B133" s="8"/>
      <c r="C133" s="10"/>
      <c r="D133" s="22" t="s">
        <v>488</v>
      </c>
      <c r="E133" s="30" t="s">
        <v>489</v>
      </c>
      <c r="F133" s="20" t="n">
        <v>2</v>
      </c>
      <c r="G133" s="20" t="s">
        <v>22</v>
      </c>
      <c r="H133" s="20" t="s">
        <v>27</v>
      </c>
      <c r="I133" s="22" t="s">
        <v>397</v>
      </c>
      <c r="J133" s="22" t="s">
        <v>490</v>
      </c>
      <c r="K133" s="53" t="s">
        <v>32</v>
      </c>
      <c r="L133" s="17" t="s">
        <v>491</v>
      </c>
      <c r="M133" s="54"/>
      <c r="N133" s="17"/>
      <c r="O133" s="17"/>
      <c r="P133" s="17"/>
      <c r="Q133" s="55" t="n">
        <v>0.1</v>
      </c>
      <c r="R133" s="55" t="n">
        <f aca="false">(F133*Q133)</f>
        <v>0.2</v>
      </c>
      <c r="S133" s="55" t="n">
        <v>0.008</v>
      </c>
      <c r="T133" s="56" t="n">
        <f aca="false">(F133*S133)</f>
        <v>0.016</v>
      </c>
      <c r="U133" s="57"/>
    </row>
    <row r="134" s="18" customFormat="true" ht="14.65" hidden="false" customHeight="false" outlineLevel="0" collapsed="false">
      <c r="A134" s="8"/>
      <c r="B134" s="8"/>
      <c r="C134" s="10"/>
      <c r="D134" s="22" t="s">
        <v>492</v>
      </c>
      <c r="E134" s="30" t="s">
        <v>493</v>
      </c>
      <c r="F134" s="20" t="n">
        <v>2</v>
      </c>
      <c r="G134" s="20" t="s">
        <v>22</v>
      </c>
      <c r="H134" s="20" t="s">
        <v>27</v>
      </c>
      <c r="I134" s="22" t="s">
        <v>397</v>
      </c>
      <c r="J134" s="22" t="s">
        <v>494</v>
      </c>
      <c r="K134" s="53" t="s">
        <v>32</v>
      </c>
      <c r="L134" s="17" t="s">
        <v>495</v>
      </c>
      <c r="M134" s="54"/>
      <c r="N134" s="17"/>
      <c r="O134" s="17"/>
      <c r="P134" s="17"/>
      <c r="Q134" s="55" t="n">
        <v>0.1</v>
      </c>
      <c r="R134" s="55" t="n">
        <f aca="false">(F134*Q134)</f>
        <v>0.2</v>
      </c>
      <c r="S134" s="55" t="n">
        <v>0.008</v>
      </c>
      <c r="T134" s="56" t="n">
        <f aca="false">(F134*S134)</f>
        <v>0.016</v>
      </c>
      <c r="U134" s="57"/>
    </row>
    <row r="135" s="18" customFormat="true" ht="15.6" hidden="false" customHeight="true" outlineLevel="0" collapsed="false">
      <c r="A135" s="8"/>
      <c r="B135" s="8"/>
      <c r="C135" s="10"/>
      <c r="D135" s="22" t="s">
        <v>496</v>
      </c>
      <c r="E135" s="30" t="s">
        <v>497</v>
      </c>
      <c r="F135" s="20" t="n">
        <v>2</v>
      </c>
      <c r="G135" s="20" t="s">
        <v>22</v>
      </c>
      <c r="H135" s="20" t="s">
        <v>27</v>
      </c>
      <c r="I135" s="22" t="s">
        <v>397</v>
      </c>
      <c r="J135" s="22" t="s">
        <v>498</v>
      </c>
      <c r="K135" s="53" t="s">
        <v>32</v>
      </c>
      <c r="L135" s="17" t="s">
        <v>499</v>
      </c>
      <c r="M135" s="54"/>
      <c r="N135" s="17"/>
      <c r="O135" s="17"/>
      <c r="P135" s="17"/>
      <c r="Q135" s="55" t="n">
        <v>0.1</v>
      </c>
      <c r="R135" s="55" t="n">
        <f aca="false">(F135*Q135)</f>
        <v>0.2</v>
      </c>
      <c r="S135" s="55" t="n">
        <v>0.016</v>
      </c>
      <c r="T135" s="56" t="n">
        <f aca="false">(F135*S135)</f>
        <v>0.032</v>
      </c>
      <c r="U135" s="58"/>
    </row>
    <row r="136" s="18" customFormat="true" ht="14.65" hidden="false" customHeight="false" outlineLevel="0" collapsed="false">
      <c r="A136" s="8"/>
      <c r="B136" s="8"/>
      <c r="C136" s="10"/>
      <c r="D136" s="22" t="s">
        <v>500</v>
      </c>
      <c r="E136" s="30" t="s">
        <v>501</v>
      </c>
      <c r="F136" s="20" t="n">
        <v>2</v>
      </c>
      <c r="G136" s="20" t="s">
        <v>22</v>
      </c>
      <c r="H136" s="20" t="s">
        <v>27</v>
      </c>
      <c r="I136" s="22" t="s">
        <v>397</v>
      </c>
      <c r="J136" s="22" t="s">
        <v>502</v>
      </c>
      <c r="K136" s="53" t="s">
        <v>32</v>
      </c>
      <c r="L136" s="17" t="s">
        <v>503</v>
      </c>
      <c r="M136" s="54"/>
      <c r="N136" s="17"/>
      <c r="O136" s="17"/>
      <c r="P136" s="17"/>
      <c r="Q136" s="55" t="n">
        <v>0.1</v>
      </c>
      <c r="R136" s="55" t="n">
        <f aca="false">(F136*Q136)</f>
        <v>0.2</v>
      </c>
      <c r="S136" s="55" t="n">
        <v>0.009</v>
      </c>
      <c r="T136" s="56" t="n">
        <f aca="false">(F136*S136)</f>
        <v>0.018</v>
      </c>
      <c r="U136" s="57"/>
    </row>
    <row r="137" s="18" customFormat="true" ht="16.25" hidden="false" customHeight="true" outlineLevel="0" collapsed="false">
      <c r="A137" s="8"/>
      <c r="B137" s="8"/>
      <c r="C137" s="10"/>
      <c r="D137" s="22" t="s">
        <v>504</v>
      </c>
      <c r="E137" s="30" t="s">
        <v>505</v>
      </c>
      <c r="F137" s="20" t="n">
        <v>1</v>
      </c>
      <c r="G137" s="20" t="s">
        <v>22</v>
      </c>
      <c r="H137" s="20" t="s">
        <v>27</v>
      </c>
      <c r="I137" s="22" t="s">
        <v>397</v>
      </c>
      <c r="J137" s="22" t="s">
        <v>506</v>
      </c>
      <c r="K137" s="53" t="s">
        <v>32</v>
      </c>
      <c r="L137" s="17" t="s">
        <v>507</v>
      </c>
      <c r="M137" s="54"/>
      <c r="N137" s="17"/>
      <c r="O137" s="17"/>
      <c r="P137" s="17"/>
      <c r="Q137" s="55" t="n">
        <v>0.1</v>
      </c>
      <c r="R137" s="55" t="n">
        <f aca="false">(F137*Q137)</f>
        <v>0.1</v>
      </c>
      <c r="S137" s="55" t="n">
        <v>0.009</v>
      </c>
      <c r="T137" s="56" t="n">
        <f aca="false">(F137*S137)</f>
        <v>0.009</v>
      </c>
      <c r="U137" s="58"/>
    </row>
    <row r="138" s="18" customFormat="true" ht="16.25" hidden="false" customHeight="true" outlineLevel="0" collapsed="false">
      <c r="A138" s="8"/>
      <c r="B138" s="8"/>
      <c r="C138" s="10"/>
      <c r="D138" s="22" t="s">
        <v>508</v>
      </c>
      <c r="E138" s="30" t="s">
        <v>509</v>
      </c>
      <c r="F138" s="20" t="n">
        <v>1</v>
      </c>
      <c r="G138" s="20" t="s">
        <v>22</v>
      </c>
      <c r="H138" s="20" t="s">
        <v>27</v>
      </c>
      <c r="I138" s="22" t="s">
        <v>397</v>
      </c>
      <c r="J138" s="22" t="s">
        <v>510</v>
      </c>
      <c r="K138" s="53" t="s">
        <v>32</v>
      </c>
      <c r="L138" s="17" t="s">
        <v>511</v>
      </c>
      <c r="M138" s="54"/>
      <c r="N138" s="17"/>
      <c r="O138" s="17"/>
      <c r="P138" s="17"/>
      <c r="Q138" s="55" t="n">
        <v>0.1</v>
      </c>
      <c r="R138" s="55" t="n">
        <f aca="false">(F138*Q138)</f>
        <v>0.1</v>
      </c>
      <c r="S138" s="55" t="n">
        <v>0.012</v>
      </c>
      <c r="T138" s="56" t="n">
        <f aca="false">(F138*S138)</f>
        <v>0.012</v>
      </c>
      <c r="U138" s="58"/>
    </row>
    <row r="139" s="18" customFormat="true" ht="16.25" hidden="false" customHeight="true" outlineLevel="0" collapsed="false">
      <c r="A139" s="8"/>
      <c r="B139" s="8"/>
      <c r="C139" s="10"/>
      <c r="D139" s="22" t="s">
        <v>512</v>
      </c>
      <c r="E139" s="30" t="s">
        <v>513</v>
      </c>
      <c r="F139" s="20" t="n">
        <v>0</v>
      </c>
      <c r="G139" s="20" t="s">
        <v>22</v>
      </c>
      <c r="H139" s="20" t="s">
        <v>27</v>
      </c>
      <c r="I139" s="22" t="s">
        <v>397</v>
      </c>
      <c r="J139" s="22" t="s">
        <v>514</v>
      </c>
      <c r="K139" s="53" t="s">
        <v>32</v>
      </c>
      <c r="L139" s="17" t="s">
        <v>515</v>
      </c>
      <c r="M139" s="54"/>
      <c r="N139" s="17"/>
      <c r="O139" s="17"/>
      <c r="P139" s="17"/>
      <c r="Q139" s="55" t="n">
        <v>0.1</v>
      </c>
      <c r="R139" s="55" t="n">
        <f aca="false">(F139*Q139)</f>
        <v>0</v>
      </c>
      <c r="S139" s="55" t="n">
        <v>0.012</v>
      </c>
      <c r="T139" s="56" t="n">
        <f aca="false">(F139*S139)</f>
        <v>0</v>
      </c>
      <c r="U139" s="59" t="s">
        <v>326</v>
      </c>
    </row>
    <row r="140" s="18" customFormat="true" ht="14.65" hidden="false" customHeight="false" outlineLevel="0" collapsed="false">
      <c r="A140" s="8"/>
      <c r="B140" s="8"/>
      <c r="C140" s="17" t="s">
        <v>43</v>
      </c>
      <c r="D140" s="22" t="s">
        <v>516</v>
      </c>
      <c r="E140" s="30" t="s">
        <v>517</v>
      </c>
      <c r="F140" s="20" t="n">
        <v>1</v>
      </c>
      <c r="G140" s="20" t="s">
        <v>22</v>
      </c>
      <c r="H140" s="20" t="s">
        <v>23</v>
      </c>
      <c r="I140" s="22" t="s">
        <v>359</v>
      </c>
      <c r="J140" s="22" t="s">
        <v>518</v>
      </c>
      <c r="K140" s="53" t="s">
        <v>32</v>
      </c>
      <c r="L140" s="17" t="s">
        <v>519</v>
      </c>
      <c r="M140" s="54"/>
      <c r="N140" s="17"/>
      <c r="O140" s="17"/>
      <c r="P140" s="17"/>
      <c r="Q140" s="55" t="n">
        <v>1.95</v>
      </c>
      <c r="R140" s="55" t="n">
        <f aca="false">(F140*Q140)</f>
        <v>1.95</v>
      </c>
      <c r="S140" s="31" t="n">
        <v>1.347</v>
      </c>
      <c r="T140" s="56" t="n">
        <f aca="false">(F140*S140)</f>
        <v>1.347</v>
      </c>
      <c r="U140" s="57"/>
    </row>
    <row r="141" s="18" customFormat="true" ht="14.65" hidden="false" customHeight="false" outlineLevel="0" collapsed="false">
      <c r="A141" s="8"/>
      <c r="B141" s="8"/>
      <c r="C141" s="17" t="s">
        <v>43</v>
      </c>
      <c r="D141" s="22" t="s">
        <v>520</v>
      </c>
      <c r="E141" s="30" t="s">
        <v>521</v>
      </c>
      <c r="F141" s="20" t="n">
        <v>1</v>
      </c>
      <c r="G141" s="20" t="s">
        <v>22</v>
      </c>
      <c r="H141" s="20" t="s">
        <v>23</v>
      </c>
      <c r="I141" s="22" t="s">
        <v>359</v>
      </c>
      <c r="J141" s="22" t="s">
        <v>522</v>
      </c>
      <c r="K141" s="53" t="s">
        <v>32</v>
      </c>
      <c r="L141" s="17" t="s">
        <v>523</v>
      </c>
      <c r="M141" s="54"/>
      <c r="N141" s="17"/>
      <c r="O141" s="17"/>
      <c r="P141" s="17"/>
      <c r="Q141" s="55" t="n">
        <v>2.72</v>
      </c>
      <c r="R141" s="55" t="n">
        <f aca="false">(F141*Q141)</f>
        <v>2.72</v>
      </c>
      <c r="S141" s="16" t="n">
        <v>1.873</v>
      </c>
      <c r="T141" s="56" t="n">
        <f aca="false">(F141*S141)</f>
        <v>1.873</v>
      </c>
      <c r="U141" s="57"/>
    </row>
    <row r="142" s="18" customFormat="true" ht="14.65" hidden="false" customHeight="false" outlineLevel="0" collapsed="false">
      <c r="A142" s="8"/>
      <c r="B142" s="8"/>
      <c r="C142" s="17" t="s">
        <v>43</v>
      </c>
      <c r="D142" s="22" t="s">
        <v>524</v>
      </c>
      <c r="E142" s="30" t="s">
        <v>525</v>
      </c>
      <c r="F142" s="20" t="n">
        <v>2</v>
      </c>
      <c r="G142" s="20" t="s">
        <v>22</v>
      </c>
      <c r="H142" s="20" t="s">
        <v>23</v>
      </c>
      <c r="I142" s="22" t="s">
        <v>359</v>
      </c>
      <c r="J142" s="22" t="s">
        <v>526</v>
      </c>
      <c r="K142" s="53" t="s">
        <v>330</v>
      </c>
      <c r="L142" s="17" t="s">
        <v>527</v>
      </c>
      <c r="M142" s="54"/>
      <c r="N142" s="17"/>
      <c r="O142" s="17"/>
      <c r="P142" s="17"/>
      <c r="Q142" s="31" t="n">
        <v>0.43</v>
      </c>
      <c r="R142" s="55" t="n">
        <f aca="false">(F142*Q142)</f>
        <v>0.86</v>
      </c>
      <c r="S142" s="55" t="n">
        <v>0.305</v>
      </c>
      <c r="T142" s="56" t="n">
        <f aca="false">(F142*S142)</f>
        <v>0.61</v>
      </c>
      <c r="U142" s="57"/>
    </row>
    <row r="143" s="18" customFormat="true" ht="14.65" hidden="false" customHeight="false" outlineLevel="0" collapsed="false">
      <c r="A143" s="8"/>
      <c r="B143" s="8"/>
      <c r="C143" s="10"/>
      <c r="D143" s="22" t="s">
        <v>528</v>
      </c>
      <c r="E143" s="30" t="s">
        <v>529</v>
      </c>
      <c r="F143" s="20" t="n">
        <v>2</v>
      </c>
      <c r="G143" s="20" t="s">
        <v>22</v>
      </c>
      <c r="H143" s="20" t="s">
        <v>27</v>
      </c>
      <c r="I143" s="22" t="s">
        <v>530</v>
      </c>
      <c r="J143" s="22" t="s">
        <v>531</v>
      </c>
      <c r="K143" s="53" t="s">
        <v>32</v>
      </c>
      <c r="L143" s="17" t="s">
        <v>532</v>
      </c>
      <c r="M143" s="54" t="s">
        <v>533</v>
      </c>
      <c r="N143" s="17" t="s">
        <v>534</v>
      </c>
      <c r="O143" s="17" t="s">
        <v>535</v>
      </c>
      <c r="P143" s="17" t="s">
        <v>531</v>
      </c>
      <c r="Q143" s="55" t="n">
        <v>0.18</v>
      </c>
      <c r="R143" s="55" t="n">
        <f aca="false">(F143*Q143)</f>
        <v>0.36</v>
      </c>
      <c r="S143" s="55" t="n">
        <v>0.119</v>
      </c>
      <c r="T143" s="56" t="n">
        <f aca="false">(F143*S143)</f>
        <v>0.238</v>
      </c>
      <c r="U143" s="57"/>
    </row>
    <row r="144" s="18" customFormat="true" ht="14.65" hidden="false" customHeight="false" outlineLevel="0" collapsed="false">
      <c r="A144" s="8"/>
      <c r="B144" s="8"/>
      <c r="C144" s="10"/>
      <c r="D144" s="22" t="s">
        <v>536</v>
      </c>
      <c r="E144" s="30" t="s">
        <v>537</v>
      </c>
      <c r="F144" s="20" t="n">
        <v>1</v>
      </c>
      <c r="G144" s="20" t="s">
        <v>22</v>
      </c>
      <c r="H144" s="20" t="s">
        <v>27</v>
      </c>
      <c r="I144" s="22" t="s">
        <v>530</v>
      </c>
      <c r="J144" s="22" t="s">
        <v>538</v>
      </c>
      <c r="K144" s="53" t="s">
        <v>32</v>
      </c>
      <c r="L144" s="17" t="s">
        <v>539</v>
      </c>
      <c r="M144" s="54"/>
      <c r="N144" s="17"/>
      <c r="O144" s="17"/>
      <c r="P144" s="17"/>
      <c r="Q144" s="55" t="n">
        <v>0.73</v>
      </c>
      <c r="R144" s="55" t="n">
        <f aca="false">(F144*Q144)</f>
        <v>0.73</v>
      </c>
      <c r="S144" s="55" t="n">
        <v>0.52</v>
      </c>
      <c r="T144" s="56" t="n">
        <f aca="false">(F144*S144)</f>
        <v>0.52</v>
      </c>
      <c r="U144" s="57"/>
    </row>
    <row r="145" s="18" customFormat="true" ht="14.65" hidden="false" customHeight="false" outlineLevel="0" collapsed="false">
      <c r="A145" s="8"/>
      <c r="B145" s="8"/>
      <c r="C145" s="10"/>
      <c r="D145" s="22" t="s">
        <v>540</v>
      </c>
      <c r="E145" s="30" t="s">
        <v>541</v>
      </c>
      <c r="F145" s="20" t="n">
        <v>1</v>
      </c>
      <c r="G145" s="20" t="s">
        <v>22</v>
      </c>
      <c r="H145" s="20" t="s">
        <v>27</v>
      </c>
      <c r="I145" s="22" t="s">
        <v>542</v>
      </c>
      <c r="J145" s="22" t="s">
        <v>543</v>
      </c>
      <c r="K145" s="53" t="s">
        <v>32</v>
      </c>
      <c r="L145" s="17" t="s">
        <v>544</v>
      </c>
      <c r="M145" s="60" t="s">
        <v>545</v>
      </c>
      <c r="N145" s="17" t="s">
        <v>546</v>
      </c>
      <c r="O145" s="17" t="s">
        <v>547</v>
      </c>
      <c r="P145" s="17" t="s">
        <v>548</v>
      </c>
      <c r="Q145" s="55" t="n">
        <v>0.38</v>
      </c>
      <c r="R145" s="55" t="n">
        <f aca="false">(F145*Q145)</f>
        <v>0.38</v>
      </c>
      <c r="S145" s="55" t="n">
        <v>0.263</v>
      </c>
      <c r="T145" s="56" t="n">
        <f aca="false">(F145*S145)</f>
        <v>0.263</v>
      </c>
      <c r="U145" s="58"/>
    </row>
    <row r="146" s="18" customFormat="true" ht="14.65" hidden="false" customHeight="false" outlineLevel="0" collapsed="false">
      <c r="A146" s="20"/>
      <c r="B146" s="20"/>
      <c r="C146" s="17"/>
      <c r="D146" s="22" t="s">
        <v>549</v>
      </c>
      <c r="E146" s="17" t="s">
        <v>550</v>
      </c>
      <c r="F146" s="20" t="n">
        <v>2</v>
      </c>
      <c r="G146" s="20" t="s">
        <v>22</v>
      </c>
      <c r="H146" s="20" t="s">
        <v>27</v>
      </c>
      <c r="I146" s="22" t="s">
        <v>530</v>
      </c>
      <c r="J146" s="22" t="s">
        <v>551</v>
      </c>
      <c r="K146" s="22" t="s">
        <v>32</v>
      </c>
      <c r="L146" s="22" t="s">
        <v>552</v>
      </c>
      <c r="M146" s="17"/>
      <c r="N146" s="17"/>
      <c r="O146" s="17"/>
      <c r="P146" s="17"/>
      <c r="Q146" s="15" t="n">
        <v>1.13</v>
      </c>
      <c r="R146" s="55" t="n">
        <f aca="false">(F146*Q146)</f>
        <v>2.26</v>
      </c>
      <c r="S146" s="15" t="n">
        <v>0.813</v>
      </c>
      <c r="T146" s="56" t="n">
        <f aca="false">(F146*S146)</f>
        <v>1.626</v>
      </c>
      <c r="U146" s="17"/>
    </row>
    <row r="147" s="18" customFormat="true" ht="14.65" hidden="false" customHeight="false" outlineLevel="0" collapsed="false">
      <c r="A147" s="20"/>
      <c r="B147" s="20"/>
      <c r="C147" s="17"/>
      <c r="D147" s="22" t="s">
        <v>553</v>
      </c>
      <c r="E147" s="17" t="s">
        <v>554</v>
      </c>
      <c r="F147" s="20" t="n">
        <v>1</v>
      </c>
      <c r="G147" s="20" t="s">
        <v>22</v>
      </c>
      <c r="H147" s="20" t="s">
        <v>27</v>
      </c>
      <c r="I147" s="22" t="s">
        <v>530</v>
      </c>
      <c r="J147" s="22" t="s">
        <v>555</v>
      </c>
      <c r="K147" s="22" t="s">
        <v>32</v>
      </c>
      <c r="L147" s="22" t="s">
        <v>556</v>
      </c>
      <c r="M147" s="17"/>
      <c r="N147" s="17"/>
      <c r="O147" s="17"/>
      <c r="P147" s="17"/>
      <c r="Q147" s="15" t="n">
        <v>0.59</v>
      </c>
      <c r="R147" s="55" t="n">
        <f aca="false">(F147*Q147)</f>
        <v>0.59</v>
      </c>
      <c r="S147" s="15" t="n">
        <v>0.418</v>
      </c>
      <c r="T147" s="56" t="n">
        <f aca="false">(F147*S147)</f>
        <v>0.418</v>
      </c>
      <c r="U147" s="17"/>
    </row>
    <row r="148" s="18" customFormat="true" ht="14.65" hidden="false" customHeight="false" outlineLevel="0" collapsed="false">
      <c r="A148" s="8"/>
      <c r="B148" s="8"/>
      <c r="C148" s="10"/>
      <c r="D148" s="22" t="s">
        <v>557</v>
      </c>
      <c r="E148" s="30" t="s">
        <v>558</v>
      </c>
      <c r="F148" s="20" t="n">
        <v>2</v>
      </c>
      <c r="G148" s="20" t="s">
        <v>22</v>
      </c>
      <c r="H148" s="20" t="s">
        <v>27</v>
      </c>
      <c r="I148" s="22" t="s">
        <v>530</v>
      </c>
      <c r="J148" s="22" t="s">
        <v>559</v>
      </c>
      <c r="K148" s="53" t="s">
        <v>32</v>
      </c>
      <c r="L148" s="17" t="s">
        <v>560</v>
      </c>
      <c r="M148" s="54"/>
      <c r="N148" s="17"/>
      <c r="O148" s="17"/>
      <c r="P148" s="17"/>
      <c r="Q148" s="55" t="n">
        <v>0.4</v>
      </c>
      <c r="R148" s="55" t="n">
        <f aca="false">(F148*Q148)</f>
        <v>0.8</v>
      </c>
      <c r="S148" s="55" t="n">
        <v>0.276</v>
      </c>
      <c r="T148" s="56" t="n">
        <f aca="false">(F148*S148)</f>
        <v>0.552</v>
      </c>
      <c r="U148" s="57"/>
    </row>
    <row r="149" s="18" customFormat="true" ht="14.65" hidden="false" customHeight="false" outlineLevel="0" collapsed="false">
      <c r="A149" s="20"/>
      <c r="B149" s="20"/>
      <c r="C149" s="17"/>
      <c r="D149" s="22" t="s">
        <v>561</v>
      </c>
      <c r="E149" s="17" t="s">
        <v>562</v>
      </c>
      <c r="F149" s="20" t="n">
        <v>1</v>
      </c>
      <c r="G149" s="20" t="s">
        <v>22</v>
      </c>
      <c r="H149" s="20" t="s">
        <v>27</v>
      </c>
      <c r="I149" s="22" t="s">
        <v>563</v>
      </c>
      <c r="J149" s="22" t="s">
        <v>564</v>
      </c>
      <c r="K149" s="22" t="s">
        <v>330</v>
      </c>
      <c r="L149" s="22" t="s">
        <v>565</v>
      </c>
      <c r="M149" s="17" t="s">
        <v>563</v>
      </c>
      <c r="N149" s="17" t="s">
        <v>566</v>
      </c>
      <c r="O149" s="17" t="s">
        <v>530</v>
      </c>
      <c r="P149" s="17" t="s">
        <v>567</v>
      </c>
      <c r="Q149" s="15" t="n">
        <v>0.66</v>
      </c>
      <c r="R149" s="55" t="n">
        <f aca="false">(F149*Q149)</f>
        <v>0.66</v>
      </c>
      <c r="S149" s="15" t="n">
        <v>0.466</v>
      </c>
      <c r="T149" s="56" t="n">
        <f aca="false">(F149*S149)</f>
        <v>0.466</v>
      </c>
      <c r="U149" s="17"/>
    </row>
    <row r="150" s="18" customFormat="true" ht="14.65" hidden="false" customHeight="false" outlineLevel="0" collapsed="false">
      <c r="A150" s="20"/>
      <c r="B150" s="20"/>
      <c r="C150" s="17"/>
      <c r="D150" s="22" t="s">
        <v>568</v>
      </c>
      <c r="E150" s="17" t="s">
        <v>569</v>
      </c>
      <c r="F150" s="20" t="n">
        <v>1</v>
      </c>
      <c r="G150" s="20" t="s">
        <v>22</v>
      </c>
      <c r="H150" s="20" t="s">
        <v>27</v>
      </c>
      <c r="I150" s="22" t="s">
        <v>570</v>
      </c>
      <c r="J150" s="22" t="s">
        <v>571</v>
      </c>
      <c r="K150" s="22" t="s">
        <v>32</v>
      </c>
      <c r="L150" s="22" t="s">
        <v>572</v>
      </c>
      <c r="M150" s="17" t="s">
        <v>570</v>
      </c>
      <c r="N150" s="17" t="s">
        <v>573</v>
      </c>
      <c r="O150" s="17"/>
      <c r="P150" s="17"/>
      <c r="Q150" s="15" t="n">
        <v>0.96</v>
      </c>
      <c r="R150" s="55" t="n">
        <f aca="false">(F150*Q150)</f>
        <v>0.96</v>
      </c>
      <c r="S150" s="15" t="n">
        <v>0.96</v>
      </c>
      <c r="T150" s="56" t="n">
        <f aca="false">(F150*S150)</f>
        <v>0.96</v>
      </c>
      <c r="U150" s="17"/>
    </row>
    <row r="151" s="18" customFormat="true" ht="14.65" hidden="false" customHeight="false" outlineLevel="0" collapsed="false">
      <c r="A151" s="20"/>
      <c r="B151" s="20"/>
      <c r="C151" s="17"/>
      <c r="D151" s="22" t="s">
        <v>574</v>
      </c>
      <c r="E151" s="17" t="s">
        <v>575</v>
      </c>
      <c r="F151" s="20" t="n">
        <v>1</v>
      </c>
      <c r="G151" s="20" t="s">
        <v>22</v>
      </c>
      <c r="H151" s="20" t="s">
        <v>27</v>
      </c>
      <c r="I151" s="22" t="s">
        <v>530</v>
      </c>
      <c r="J151" s="22" t="s">
        <v>576</v>
      </c>
      <c r="K151" s="22" t="s">
        <v>32</v>
      </c>
      <c r="L151" s="22" t="s">
        <v>577</v>
      </c>
      <c r="M151" s="17"/>
      <c r="N151" s="17"/>
      <c r="O151" s="17"/>
      <c r="P151" s="17"/>
      <c r="Q151" s="15" t="n">
        <v>0.12</v>
      </c>
      <c r="R151" s="55" t="n">
        <f aca="false">(F151*Q151)</f>
        <v>0.12</v>
      </c>
      <c r="S151" s="15" t="n">
        <v>0.082</v>
      </c>
      <c r="T151" s="56" t="n">
        <f aca="false">(F151*S151)</f>
        <v>0.082</v>
      </c>
      <c r="U151" s="17"/>
    </row>
    <row r="152" s="18" customFormat="true" ht="14.65" hidden="false" customHeight="false" outlineLevel="0" collapsed="false">
      <c r="A152" s="20"/>
      <c r="B152" s="20"/>
      <c r="C152" s="17"/>
      <c r="D152" s="22" t="s">
        <v>578</v>
      </c>
      <c r="E152" s="17" t="s">
        <v>579</v>
      </c>
      <c r="F152" s="20" t="n">
        <v>1</v>
      </c>
      <c r="G152" s="20" t="s">
        <v>22</v>
      </c>
      <c r="H152" s="20" t="s">
        <v>27</v>
      </c>
      <c r="I152" s="22" t="s">
        <v>530</v>
      </c>
      <c r="J152" s="22" t="s">
        <v>580</v>
      </c>
      <c r="K152" s="22" t="s">
        <v>32</v>
      </c>
      <c r="L152" s="22" t="s">
        <v>581</v>
      </c>
      <c r="M152" s="17"/>
      <c r="N152" s="17"/>
      <c r="O152" s="17"/>
      <c r="P152" s="17"/>
      <c r="Q152" s="15" t="n">
        <v>2.44</v>
      </c>
      <c r="R152" s="55" t="n">
        <f aca="false">(F152*Q152)</f>
        <v>2.44</v>
      </c>
      <c r="S152" s="15" t="n">
        <v>1.813</v>
      </c>
      <c r="T152" s="56" t="n">
        <f aca="false">(F152*S152)</f>
        <v>1.813</v>
      </c>
      <c r="U152" s="17"/>
    </row>
    <row r="153" s="18" customFormat="true" ht="14.65" hidden="false" customHeight="false" outlineLevel="0" collapsed="false">
      <c r="A153" s="20"/>
      <c r="B153" s="20"/>
      <c r="C153" s="17"/>
      <c r="D153" s="22" t="s">
        <v>582</v>
      </c>
      <c r="E153" s="17" t="s">
        <v>583</v>
      </c>
      <c r="F153" s="20" t="n">
        <v>1</v>
      </c>
      <c r="G153" s="20" t="s">
        <v>22</v>
      </c>
      <c r="H153" s="20" t="s">
        <v>27</v>
      </c>
      <c r="I153" s="22" t="s">
        <v>530</v>
      </c>
      <c r="J153" s="22" t="s">
        <v>584</v>
      </c>
      <c r="K153" s="22" t="s">
        <v>32</v>
      </c>
      <c r="L153" s="22" t="s">
        <v>585</v>
      </c>
      <c r="M153" s="17"/>
      <c r="N153" s="17"/>
      <c r="O153" s="17"/>
      <c r="P153" s="17"/>
      <c r="Q153" s="15" t="n">
        <v>0.36</v>
      </c>
      <c r="R153" s="55" t="n">
        <f aca="false">(F153*Q153)</f>
        <v>0.36</v>
      </c>
      <c r="S153" s="15" t="n">
        <v>0.25</v>
      </c>
      <c r="T153" s="56" t="n">
        <f aca="false">(F153*S153)</f>
        <v>0.25</v>
      </c>
      <c r="U153" s="17"/>
    </row>
    <row r="154" s="18" customFormat="true" ht="14.65" hidden="false" customHeight="false" outlineLevel="0" collapsed="false">
      <c r="A154" s="24"/>
      <c r="B154" s="8"/>
      <c r="C154" s="17" t="s">
        <v>43</v>
      </c>
      <c r="D154" s="22" t="s">
        <v>586</v>
      </c>
      <c r="E154" s="17"/>
      <c r="F154" s="20" t="n">
        <v>1</v>
      </c>
      <c r="G154" s="20" t="s">
        <v>22</v>
      </c>
      <c r="H154" s="20" t="s">
        <v>23</v>
      </c>
      <c r="I154" s="22" t="s">
        <v>587</v>
      </c>
      <c r="J154" s="22" t="s">
        <v>588</v>
      </c>
      <c r="K154" s="22" t="s">
        <v>589</v>
      </c>
      <c r="L154" s="61"/>
      <c r="M154" s="17"/>
      <c r="N154" s="17"/>
      <c r="O154" s="17"/>
      <c r="P154" s="17"/>
      <c r="Q154" s="55" t="n">
        <v>40.03</v>
      </c>
      <c r="R154" s="55" t="n">
        <f aca="false">(F154*Q154)</f>
        <v>40.03</v>
      </c>
      <c r="S154" s="55" t="n">
        <v>36</v>
      </c>
      <c r="T154" s="56" t="n">
        <f aca="false">(F154*S154)</f>
        <v>36</v>
      </c>
      <c r="U154" s="57" t="s">
        <v>590</v>
      </c>
    </row>
    <row r="155" customFormat="false" ht="14.65" hidden="false" customHeight="false" outlineLevel="0" collapsed="false">
      <c r="D155" s="62"/>
      <c r="Q155" s="63"/>
      <c r="T155" s="64"/>
    </row>
    <row r="156" customFormat="false" ht="14.65" hidden="false" customHeight="false" outlineLevel="0" collapsed="false">
      <c r="Q156" s="63"/>
      <c r="T156" s="64"/>
    </row>
    <row r="157" s="18" customFormat="true" ht="14.65" hidden="false" customHeight="false" outlineLevel="0" collapsed="false">
      <c r="F157" s="65"/>
      <c r="G157" s="65"/>
      <c r="H157" s="65"/>
      <c r="P157" s="66" t="s">
        <v>591</v>
      </c>
      <c r="Q157" s="15"/>
      <c r="R157" s="67" t="n">
        <f aca="false">SUM(R3:R154)</f>
        <v>193.1295</v>
      </c>
      <c r="S157" s="68"/>
      <c r="T157" s="69" t="n">
        <f aca="false">SUM(T3:T154)</f>
        <v>121.17215</v>
      </c>
    </row>
    <row r="158" customFormat="false" ht="14.65" hidden="false" customHeight="false" outlineLevel="0" collapsed="false">
      <c r="D158" s="1" t="s">
        <v>592</v>
      </c>
      <c r="I158" s="1" t="s">
        <v>126</v>
      </c>
      <c r="J158" s="1" t="s">
        <v>593</v>
      </c>
      <c r="K158" s="1" t="s">
        <v>594</v>
      </c>
      <c r="Q158" s="63"/>
      <c r="T158" s="64"/>
    </row>
    <row r="159" customFormat="false" ht="14.65" hidden="false" customHeight="false" outlineLevel="0" collapsed="false">
      <c r="J159" s="1" t="s">
        <v>595</v>
      </c>
      <c r="Q159" s="63"/>
      <c r="T159" s="64"/>
    </row>
    <row r="160" customFormat="false" ht="14.65" hidden="false" customHeight="false" outlineLevel="0" collapsed="false">
      <c r="Q160" s="63"/>
      <c r="T160" s="64"/>
    </row>
    <row r="161" customFormat="false" ht="14.65" hidden="false" customHeight="false" outlineLevel="0" collapsed="false">
      <c r="Q161" s="63"/>
      <c r="T161" s="64"/>
    </row>
    <row r="162" customFormat="false" ht="14.65" hidden="false" customHeight="false" outlineLevel="0" collapsed="false">
      <c r="D162" s="1" t="s">
        <v>596</v>
      </c>
      <c r="I162" s="1" t="s">
        <v>126</v>
      </c>
      <c r="J162" s="1" t="s">
        <v>597</v>
      </c>
      <c r="Q162" s="63"/>
      <c r="T162" s="64"/>
    </row>
    <row r="163" customFormat="false" ht="14.65" hidden="false" customHeight="false" outlineLevel="0" collapsed="false">
      <c r="A163" s="70" t="s">
        <v>598</v>
      </c>
      <c r="Q163" s="63"/>
      <c r="T163" s="64"/>
    </row>
    <row r="164" customFormat="false" ht="14.65" hidden="false" customHeight="false" outlineLevel="0" collapsed="false">
      <c r="Q164" s="63"/>
      <c r="T164" s="64"/>
    </row>
    <row r="165" customFormat="false" ht="14.65" hidden="false" customHeight="false" outlineLevel="0" collapsed="false">
      <c r="Q165" s="63"/>
      <c r="T165" s="64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0.75" bottom="0.75" header="0.25" footer="0.25"/>
  <pageSetup paperSize="1" scale="110" fitToWidth="1" fitToHeight="1" pageOrder="downThenOver" orientation="landscape" blackAndWhite="false" draft="false" cellComments="none" horizontalDpi="300" verticalDpi="300" copies="1"/>
  <headerFooter differentFirst="false" differentOddEven="false">
    <oddHeader>&amp;CMME Project 01 headlamp model A2 BOM version 01</oddHeader>
    <oddFooter>&amp;L&amp;D&amp;C&amp;F&amp;RPage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38569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2015-03-14T08:13:27Z</dcterms:created>
  <dc:creator>Steve</dc:creator>
  <dc:description/>
  <dc:language>en-US</dc:language>
  <cp:lastModifiedBy/>
  <dcterms:modified xsi:type="dcterms:W3CDTF">2026-06-06T17:07:51Z</dcterms:modified>
  <cp:revision>565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